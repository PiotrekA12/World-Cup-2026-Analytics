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EB8D677-6AC3-4169-BA3E-61B65FCEE954}" xr6:coauthVersionLast="47" xr6:coauthVersionMax="47" xr10:uidLastSave="{00000000-0000-0000-0000-000000000000}"/>
  <bookViews>
    <workbookView xWindow="-120" yWindow="-120" windowWidth="29040" windowHeight="15840" tabRatio="687" activeTab="3" xr2:uid="{2471BB28-E1DD-46B5-B3AB-74A676ED8893}"/>
  </bookViews>
  <sheets>
    <sheet name="DimTeam" sheetId="1" r:id="rId1"/>
    <sheet name="DimConfederation" sheetId="2" r:id="rId2"/>
    <sheet name="DimStage" sheetId="4" r:id="rId3"/>
    <sheet name="DimOdds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5" i="9" l="1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</calcChain>
</file>

<file path=xl/sharedStrings.xml><?xml version="1.0" encoding="utf-8"?>
<sst xmlns="http://schemas.openxmlformats.org/spreadsheetml/2006/main" count="510" uniqueCount="183">
  <si>
    <t>TeamID</t>
  </si>
  <si>
    <t>TeamName</t>
  </si>
  <si>
    <t>TeamCode</t>
  </si>
  <si>
    <t>ConfederationID</t>
  </si>
  <si>
    <t>ConfederationName</t>
  </si>
  <si>
    <t>DisplayOrder</t>
  </si>
  <si>
    <t>StageID</t>
  </si>
  <si>
    <t>StageName</t>
  </si>
  <si>
    <t>StageOrder</t>
  </si>
  <si>
    <t>MatchID</t>
  </si>
  <si>
    <t>HomeOdds</t>
  </si>
  <si>
    <t>DrawOdds</t>
  </si>
  <si>
    <t>AwayOdds</t>
  </si>
  <si>
    <t>FavoriteTeamID</t>
  </si>
  <si>
    <t>FavoriteWon</t>
  </si>
  <si>
    <t>UEFA</t>
  </si>
  <si>
    <t>Europe</t>
  </si>
  <si>
    <t>CONMEBOL</t>
  </si>
  <si>
    <t>South America</t>
  </si>
  <si>
    <t>CONCACAF</t>
  </si>
  <si>
    <t>CAF</t>
  </si>
  <si>
    <t>Africa</t>
  </si>
  <si>
    <t>AFC</t>
  </si>
  <si>
    <t>Asia</t>
  </si>
  <si>
    <t>OFC</t>
  </si>
  <si>
    <t>Oceania</t>
  </si>
  <si>
    <t>Region</t>
  </si>
  <si>
    <t>North &amp; Central America</t>
  </si>
  <si>
    <t>TeamsCount</t>
  </si>
  <si>
    <t>IsKnockout</t>
  </si>
  <si>
    <t>GROUP</t>
  </si>
  <si>
    <t>Group Stage</t>
  </si>
  <si>
    <t>FALSE</t>
  </si>
  <si>
    <t>R32</t>
  </si>
  <si>
    <t>Round of 32</t>
  </si>
  <si>
    <t>TRUE</t>
  </si>
  <si>
    <t>R16</t>
  </si>
  <si>
    <t>Round of 16</t>
  </si>
  <si>
    <t>QF</t>
  </si>
  <si>
    <t>Quarter-finals</t>
  </si>
  <si>
    <t>SF</t>
  </si>
  <si>
    <t>Semi-finals</t>
  </si>
  <si>
    <t>THIRD</t>
  </si>
  <si>
    <t>Third Place Match</t>
  </si>
  <si>
    <t>FINAL</t>
  </si>
  <si>
    <t>Final</t>
  </si>
  <si>
    <t>TeamName_EN</t>
  </si>
  <si>
    <t>Algeria</t>
  </si>
  <si>
    <t>ALG</t>
  </si>
  <si>
    <t>Anglia</t>
  </si>
  <si>
    <t>England</t>
  </si>
  <si>
    <t>ENG</t>
  </si>
  <si>
    <t>Arabia Saudyjska</t>
  </si>
  <si>
    <t>Saudi Arabia</t>
  </si>
  <si>
    <t>KSA</t>
  </si>
  <si>
    <t>Argentyna</t>
  </si>
  <si>
    <t>Argentina</t>
  </si>
  <si>
    <t>ARG</t>
  </si>
  <si>
    <t>Australia</t>
  </si>
  <si>
    <t>AUS</t>
  </si>
  <si>
    <t>Austria</t>
  </si>
  <si>
    <t>AUT</t>
  </si>
  <si>
    <t>Belgia</t>
  </si>
  <si>
    <t>Belgium</t>
  </si>
  <si>
    <t>BEL</t>
  </si>
  <si>
    <t>Bośnia i Hercegowina</t>
  </si>
  <si>
    <t>Bosnia and Herzegovina</t>
  </si>
  <si>
    <t>BIH</t>
  </si>
  <si>
    <t>Brazylia</t>
  </si>
  <si>
    <t>Brazil</t>
  </si>
  <si>
    <t>BRA</t>
  </si>
  <si>
    <t>Chorwacja</t>
  </si>
  <si>
    <t>Croatia</t>
  </si>
  <si>
    <t>CRO</t>
  </si>
  <si>
    <t>Curacao</t>
  </si>
  <si>
    <t>Curaçao</t>
  </si>
  <si>
    <t>CUW</t>
  </si>
  <si>
    <t>Czechy</t>
  </si>
  <si>
    <t>Czech Republic</t>
  </si>
  <si>
    <t>CZE</t>
  </si>
  <si>
    <t>DR Konga</t>
  </si>
  <si>
    <t>COD</t>
  </si>
  <si>
    <t>Egipt</t>
  </si>
  <si>
    <t>Egypt</t>
  </si>
  <si>
    <t>EGY</t>
  </si>
  <si>
    <t>Ekwador</t>
  </si>
  <si>
    <t>Ecuador</t>
  </si>
  <si>
    <t>ECU</t>
  </si>
  <si>
    <t>Francja</t>
  </si>
  <si>
    <t>France</t>
  </si>
  <si>
    <t>FRA</t>
  </si>
  <si>
    <t>Ghana</t>
  </si>
  <si>
    <t>GHA</t>
  </si>
  <si>
    <t>Haiti</t>
  </si>
  <si>
    <t>HTI</t>
  </si>
  <si>
    <t>Hiszpania</t>
  </si>
  <si>
    <t>Spain</t>
  </si>
  <si>
    <t>ESP</t>
  </si>
  <si>
    <t>Holandia</t>
  </si>
  <si>
    <t>Netherlands</t>
  </si>
  <si>
    <t>NED</t>
  </si>
  <si>
    <t>Irak</t>
  </si>
  <si>
    <t>Iraq</t>
  </si>
  <si>
    <t>IRQ</t>
  </si>
  <si>
    <t>Iran</t>
  </si>
  <si>
    <t>IRN</t>
  </si>
  <si>
    <t>Japonia</t>
  </si>
  <si>
    <t>Japan</t>
  </si>
  <si>
    <t>JPN</t>
  </si>
  <si>
    <t>Jordania</t>
  </si>
  <si>
    <t>Jordan</t>
  </si>
  <si>
    <t>JOR</t>
  </si>
  <si>
    <t>Kanada</t>
  </si>
  <si>
    <t>Canada</t>
  </si>
  <si>
    <t>CAN</t>
  </si>
  <si>
    <t>Katar</t>
  </si>
  <si>
    <t>Qatar</t>
  </si>
  <si>
    <t>QAT</t>
  </si>
  <si>
    <t>Kolumbia</t>
  </si>
  <si>
    <t>Colombia</t>
  </si>
  <si>
    <t>COL</t>
  </si>
  <si>
    <t>Korea Południowa</t>
  </si>
  <si>
    <t>South Korea</t>
  </si>
  <si>
    <t>KOR</t>
  </si>
  <si>
    <t>Maroko</t>
  </si>
  <si>
    <t>Morocco</t>
  </si>
  <si>
    <t>MAR</t>
  </si>
  <si>
    <t>Meksyk</t>
  </si>
  <si>
    <t>Mexico</t>
  </si>
  <si>
    <t>MEX</t>
  </si>
  <si>
    <t>Niemcy</t>
  </si>
  <si>
    <t>Germany</t>
  </si>
  <si>
    <t>GER</t>
  </si>
  <si>
    <t>Norwegia</t>
  </si>
  <si>
    <t>Norway</t>
  </si>
  <si>
    <t>NOR</t>
  </si>
  <si>
    <t>Nowa Zelandia</t>
  </si>
  <si>
    <t>New Zealand</t>
  </si>
  <si>
    <t>NZL</t>
  </si>
  <si>
    <t>Panama</t>
  </si>
  <si>
    <t>PAN</t>
  </si>
  <si>
    <t>Paragwaj</t>
  </si>
  <si>
    <t>Paraguay</t>
  </si>
  <si>
    <t>PAR</t>
  </si>
  <si>
    <t>Portugalia</t>
  </si>
  <si>
    <t>Portugal</t>
  </si>
  <si>
    <t>POR</t>
  </si>
  <si>
    <t>RPA</t>
  </si>
  <si>
    <t>South Africa</t>
  </si>
  <si>
    <t>RSA</t>
  </si>
  <si>
    <t>Republika Zielonego Przylądka</t>
  </si>
  <si>
    <t>Cape Verde</t>
  </si>
  <si>
    <t>CPV</t>
  </si>
  <si>
    <t>Senegal</t>
  </si>
  <si>
    <t>SEN</t>
  </si>
  <si>
    <t>Szkocja</t>
  </si>
  <si>
    <t>Scotland</t>
  </si>
  <si>
    <t>SCO</t>
  </si>
  <si>
    <t>Szwajcaria</t>
  </si>
  <si>
    <t>Switzerland</t>
  </si>
  <si>
    <t>SUI</t>
  </si>
  <si>
    <t>Szwecja</t>
  </si>
  <si>
    <t>Sweden</t>
  </si>
  <si>
    <t>SWE</t>
  </si>
  <si>
    <t>Tunezja</t>
  </si>
  <si>
    <t>Tunisia</t>
  </si>
  <si>
    <t>TUN</t>
  </si>
  <si>
    <t>Turcja</t>
  </si>
  <si>
    <t>TUR</t>
  </si>
  <si>
    <t>USA</t>
  </si>
  <si>
    <t>United States</t>
  </si>
  <si>
    <t>Urugwaj</t>
  </si>
  <si>
    <t>Uruguay</t>
  </si>
  <si>
    <t>URU</t>
  </si>
  <si>
    <t>Uzbekistan</t>
  </si>
  <si>
    <t>UZB</t>
  </si>
  <si>
    <t>Wybrzeże Kości Słoniowej</t>
  </si>
  <si>
    <t>CIV</t>
  </si>
  <si>
    <t>Ivory Coast</t>
  </si>
  <si>
    <t>Democratic Republic of the Congo</t>
  </si>
  <si>
    <t>Turkey</t>
  </si>
  <si>
    <t>AwayTeam</t>
  </si>
  <si>
    <t>HomeTeam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</si>
</sst>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/>
      <bottom/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/>
      <top/>
      <bottom style="medium">
        <color rgb="FFE6E6E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0" fillId="4" borderId="9" xfId="0" applyFill="1" applyBorder="1"/>
    <xf numFmtId="0" fontId="0" fillId="4" borderId="10" xfId="0" applyFill="1" applyBorder="1"/>
    <xf numFmtId="0" fontId="0" fillId="0" borderId="9" xfId="0" applyBorder="1"/>
    <xf numFmtId="0" fontId="0" fillId="0" borderId="10" xfId="0" applyBorder="1"/>
    <xf numFmtId="0" fontId="5" fillId="0" borderId="0" xfId="0" applyFont="1"/>
    <xf numFmtId="1" fontId="5" fillId="0" borderId="0" xfId="0" applyNumberFormat="1" applyFont="1"/>
    <xf numFmtId="0" fontId="4" fillId="3" borderId="11" xfId="0" applyFont="1" applyFill="1" applyBorder="1"/>
    <xf numFmtId="0" fontId="4" fillId="3" borderId="12" xfId="0" applyFont="1" applyFill="1" applyBorder="1"/>
    <xf numFmtId="0" fontId="4" fillId="3" borderId="13" xfId="0" applyFont="1" applyFill="1" applyBorder="1"/>
  </cellXfs>
  <cellStyles count="1">
    <cellStyle name="Normalny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border outline="0">
        <left style="medium">
          <color rgb="FFE6E6E6"/>
        </left>
        <right style="medium">
          <color rgb="FFE6E6E6"/>
        </right>
        <top style="medium">
          <color rgb="FFE6E6E6"/>
        </top>
      </border>
    </dxf>
    <dxf>
      <border outline="0">
        <bottom style="medium">
          <color rgb="FFE6E6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fill>
        <patternFill patternType="solid">
          <fgColor indexed="64"/>
          <bgColor theme="1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border outline="0">
        <left style="medium">
          <color rgb="FFE6E6E6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D55E04-2264-462E-96C3-C38D9ABE16C9}" name="Tabela1" displayName="Tabela1" ref="A1:F49" totalsRowShown="0" headerRowDxfId="21" dataDxfId="20">
  <autoFilter ref="A1:F49" xr:uid="{7ED55E04-2264-462E-96C3-C38D9ABE16C9}"/>
  <tableColumns count="6">
    <tableColumn id="1" xr3:uid="{1F583535-561B-476C-8C8A-F9F51A309F26}" name="TeamID" dataDxfId="19"/>
    <tableColumn id="2" xr3:uid="{5D0EB8C7-AAF5-4456-9E7F-A90F8E1C2E40}" name="TeamName" dataDxfId="18"/>
    <tableColumn id="3" xr3:uid="{48F37238-6561-4EB1-9E46-851783488AA0}" name="TeamName_EN" dataDxfId="17"/>
    <tableColumn id="4" xr3:uid="{2E7E1C69-0E0F-4FF3-A790-BA22B00139E7}" name="TeamCode" dataDxfId="16"/>
    <tableColumn id="5" xr3:uid="{5C82D992-DECF-47B8-8D4B-DDF403D5FC74}" name="ConfederationID" dataDxfId="15"/>
    <tableColumn id="6" xr3:uid="{4D325C69-AEEA-4524-B5A3-FFD8170C051D}" name="ConfederationName" dataDxfId="1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43C6C8-B3FB-4F4E-8B69-8CFD3A81BD90}" name="Tabela2" displayName="Tabela2" ref="A1:E7" totalsRowShown="0" headerRowDxfId="13" dataDxfId="12" tableBorderDxfId="11">
  <autoFilter ref="A1:E7" xr:uid="{9943C6C8-B3FB-4F4E-8B69-8CFD3A81BD90}"/>
  <tableColumns count="5">
    <tableColumn id="1" xr3:uid="{AA8A37C6-4DDC-4CF2-A56A-E3A3908A54C8}" name="ConfederationID" dataDxfId="10"/>
    <tableColumn id="2" xr3:uid="{A1E3E050-240B-436A-A473-37D5A2A03E6B}" name="ConfederationName" dataDxfId="9"/>
    <tableColumn id="3" xr3:uid="{6784CA1B-ECA7-4C7C-B8D5-EC8FBF67BD49}" name="Region" dataDxfId="8"/>
    <tableColumn id="4" xr3:uid="{39A92FBC-F31D-4DFD-859E-A5A5A7657770}" name="DisplayOrder" dataDxfId="7"/>
    <tableColumn id="5" xr3:uid="{972657E2-6367-444D-BDF3-9FE1A18B9DA0}" name="TeamsCount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07EA8A-46CC-44D8-A341-FA5856286618}" name="Tabela3" displayName="Tabela3" ref="A1:D8" totalsRowShown="0" headerRowDxfId="6" headerRowBorderDxfId="5" tableBorderDxfId="4">
  <autoFilter ref="A1:D8" xr:uid="{4907EA8A-46CC-44D8-A341-FA5856286618}"/>
  <tableColumns count="4">
    <tableColumn id="1" xr3:uid="{34BC5A1E-84A2-449F-B411-669FBB123243}" name="StageID" dataDxfId="3"/>
    <tableColumn id="2" xr3:uid="{AD463E92-463D-4DDF-82B0-779F7CA37794}" name="StageName" dataDxfId="2"/>
    <tableColumn id="3" xr3:uid="{841A1FFC-E646-4407-B4BF-E5B135FBC719}" name="StageOrder" dataDxfId="1"/>
    <tableColumn id="4" xr3:uid="{AC9021E5-CD42-4037-AAED-579FA5E11B1A}" name="IsKnockout" dataDxfId="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C5E5B3-3847-482D-A996-1F1087014F2A}" name="Tabela16" displayName="Tabela16" ref="A1:H105" totalsRowShown="0" headerRowDxfId="27" headerRowBorderDxfId="26" tableBorderDxfId="25">
  <autoFilter ref="A1:H105" xr:uid="{16C5E5B3-3847-482D-A996-1F1087014F2A}"/>
  <tableColumns count="8">
    <tableColumn id="1" xr3:uid="{F39CEAFC-7FB3-44EC-9DC1-4AB32E0802D3}" name="MatchID" dataDxfId="24"/>
    <tableColumn id="2" xr3:uid="{7C1DBCFB-FA19-4ED7-8F64-2F1D322342D6}" name="HomeTeam" dataDxfId="23"/>
    <tableColumn id="3" xr3:uid="{8A6D2C8D-F482-46E6-AA5C-5C5D0FD482E7}" name="AwayTeam" dataDxfId="22"/>
    <tableColumn id="4" xr3:uid="{398EA1F5-1137-475D-8164-C1CEDFFD6D60}" name="HomeOdds"/>
    <tableColumn id="5" xr3:uid="{EF789B19-50CD-4E2C-8C01-EC0761C8D5A0}" name="DrawOdds"/>
    <tableColumn id="6" xr3:uid="{F7F9F6C0-1432-4F51-94F7-0EB3D0737639}" name="AwayOdds"/>
    <tableColumn id="7" xr3:uid="{BA8020DA-8035-41E1-ACA4-76B671A36BC4}" name="FavoriteTeamID">
      <calculatedColumnFormula>IF(D2&lt;F2,B2,C2)</calculatedColumnFormula>
    </tableColumn>
    <tableColumn id="8" xr3:uid="{C810F33D-D90C-48B6-87BD-98D0587026E7}" name="FavoriteW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3CD5-0EF8-439B-B615-A6734B2848ED}">
  <sheetPr>
    <tabColor theme="6" tint="0.79998168889431442"/>
  </sheetPr>
  <dimension ref="A1:F49"/>
  <sheetViews>
    <sheetView workbookViewId="0">
      <selection activeCell="H36" sqref="H36"/>
    </sheetView>
  </sheetViews>
  <sheetFormatPr defaultRowHeight="15" x14ac:dyDescent="0.25"/>
  <cols>
    <col min="1" max="1" width="15.7109375" customWidth="1"/>
    <col min="2" max="2" width="18.85546875" customWidth="1"/>
    <col min="3" max="3" width="20.42578125" customWidth="1"/>
    <col min="4" max="4" width="16.28515625" customWidth="1"/>
    <col min="5" max="5" width="19.85546875" customWidth="1"/>
    <col min="6" max="6" width="22.7109375" customWidth="1"/>
  </cols>
  <sheetData>
    <row r="1" spans="1:6" x14ac:dyDescent="0.25">
      <c r="A1" s="2" t="s">
        <v>0</v>
      </c>
      <c r="B1" s="2" t="s">
        <v>1</v>
      </c>
      <c r="C1" s="2" t="s">
        <v>46</v>
      </c>
      <c r="D1" s="2" t="s">
        <v>2</v>
      </c>
      <c r="E1" s="2" t="s">
        <v>3</v>
      </c>
      <c r="F1" s="2" t="s">
        <v>4</v>
      </c>
    </row>
    <row r="2" spans="1:6" x14ac:dyDescent="0.25">
      <c r="A2" s="3">
        <v>1</v>
      </c>
      <c r="B2" s="3" t="s">
        <v>47</v>
      </c>
      <c r="C2" s="3" t="s">
        <v>47</v>
      </c>
      <c r="D2" s="3" t="s">
        <v>48</v>
      </c>
      <c r="E2" s="3" t="s">
        <v>20</v>
      </c>
      <c r="F2" s="3" t="s">
        <v>20</v>
      </c>
    </row>
    <row r="3" spans="1:6" x14ac:dyDescent="0.25">
      <c r="A3" s="3">
        <v>2</v>
      </c>
      <c r="B3" s="3" t="s">
        <v>49</v>
      </c>
      <c r="C3" s="3" t="s">
        <v>50</v>
      </c>
      <c r="D3" s="3" t="s">
        <v>51</v>
      </c>
      <c r="E3" s="3" t="s">
        <v>15</v>
      </c>
      <c r="F3" s="3" t="s">
        <v>15</v>
      </c>
    </row>
    <row r="4" spans="1:6" x14ac:dyDescent="0.25">
      <c r="A4" s="3">
        <v>3</v>
      </c>
      <c r="B4" s="3" t="s">
        <v>52</v>
      </c>
      <c r="C4" s="3" t="s">
        <v>53</v>
      </c>
      <c r="D4" s="3" t="s">
        <v>54</v>
      </c>
      <c r="E4" s="3" t="s">
        <v>22</v>
      </c>
      <c r="F4" s="3" t="s">
        <v>22</v>
      </c>
    </row>
    <row r="5" spans="1:6" x14ac:dyDescent="0.25">
      <c r="A5" s="3">
        <v>4</v>
      </c>
      <c r="B5" s="3" t="s">
        <v>55</v>
      </c>
      <c r="C5" s="3" t="s">
        <v>56</v>
      </c>
      <c r="D5" s="3" t="s">
        <v>57</v>
      </c>
      <c r="E5" s="3" t="s">
        <v>17</v>
      </c>
      <c r="F5" s="3" t="s">
        <v>17</v>
      </c>
    </row>
    <row r="6" spans="1:6" x14ac:dyDescent="0.25">
      <c r="A6" s="3">
        <v>5</v>
      </c>
      <c r="B6" s="3" t="s">
        <v>58</v>
      </c>
      <c r="C6" s="3" t="s">
        <v>58</v>
      </c>
      <c r="D6" s="3" t="s">
        <v>59</v>
      </c>
      <c r="E6" s="3" t="s">
        <v>22</v>
      </c>
      <c r="F6" s="3" t="s">
        <v>22</v>
      </c>
    </row>
    <row r="7" spans="1:6" x14ac:dyDescent="0.25">
      <c r="A7" s="3">
        <v>6</v>
      </c>
      <c r="B7" s="3" t="s">
        <v>60</v>
      </c>
      <c r="C7" s="3" t="s">
        <v>60</v>
      </c>
      <c r="D7" s="3" t="s">
        <v>61</v>
      </c>
      <c r="E7" s="3" t="s">
        <v>15</v>
      </c>
      <c r="F7" s="3" t="s">
        <v>15</v>
      </c>
    </row>
    <row r="8" spans="1:6" x14ac:dyDescent="0.25">
      <c r="A8" s="3">
        <v>7</v>
      </c>
      <c r="B8" s="3" t="s">
        <v>62</v>
      </c>
      <c r="C8" s="3" t="s">
        <v>63</v>
      </c>
      <c r="D8" s="3" t="s">
        <v>64</v>
      </c>
      <c r="E8" s="3" t="s">
        <v>15</v>
      </c>
      <c r="F8" s="3" t="s">
        <v>15</v>
      </c>
    </row>
    <row r="9" spans="1:6" ht="30" x14ac:dyDescent="0.25">
      <c r="A9" s="3">
        <v>8</v>
      </c>
      <c r="B9" s="3" t="s">
        <v>65</v>
      </c>
      <c r="C9" s="3" t="s">
        <v>66</v>
      </c>
      <c r="D9" s="3" t="s">
        <v>67</v>
      </c>
      <c r="E9" s="3" t="s">
        <v>15</v>
      </c>
      <c r="F9" s="3" t="s">
        <v>15</v>
      </c>
    </row>
    <row r="10" spans="1:6" x14ac:dyDescent="0.25">
      <c r="A10" s="3">
        <v>9</v>
      </c>
      <c r="B10" s="3" t="s">
        <v>68</v>
      </c>
      <c r="C10" s="3" t="s">
        <v>69</v>
      </c>
      <c r="D10" s="3" t="s">
        <v>70</v>
      </c>
      <c r="E10" s="3" t="s">
        <v>17</v>
      </c>
      <c r="F10" s="3" t="s">
        <v>17</v>
      </c>
    </row>
    <row r="11" spans="1:6" x14ac:dyDescent="0.25">
      <c r="A11" s="3">
        <v>10</v>
      </c>
      <c r="B11" s="3" t="s">
        <v>71</v>
      </c>
      <c r="C11" s="3" t="s">
        <v>72</v>
      </c>
      <c r="D11" s="3" t="s">
        <v>73</v>
      </c>
      <c r="E11" s="3" t="s">
        <v>15</v>
      </c>
      <c r="F11" s="3" t="s">
        <v>15</v>
      </c>
    </row>
    <row r="12" spans="1:6" x14ac:dyDescent="0.25">
      <c r="A12" s="3">
        <v>11</v>
      </c>
      <c r="B12" s="3" t="s">
        <v>74</v>
      </c>
      <c r="C12" s="3" t="s">
        <v>75</v>
      </c>
      <c r="D12" s="3" t="s">
        <v>76</v>
      </c>
      <c r="E12" s="3" t="s">
        <v>19</v>
      </c>
      <c r="F12" s="3" t="s">
        <v>19</v>
      </c>
    </row>
    <row r="13" spans="1:6" x14ac:dyDescent="0.25">
      <c r="A13" s="3">
        <v>12</v>
      </c>
      <c r="B13" s="3" t="s">
        <v>77</v>
      </c>
      <c r="C13" s="3" t="s">
        <v>78</v>
      </c>
      <c r="D13" s="3" t="s">
        <v>79</v>
      </c>
      <c r="E13" s="3" t="s">
        <v>15</v>
      </c>
      <c r="F13" s="3" t="s">
        <v>15</v>
      </c>
    </row>
    <row r="14" spans="1:6" ht="30" x14ac:dyDescent="0.25">
      <c r="A14" s="3">
        <v>13</v>
      </c>
      <c r="B14" s="3" t="s">
        <v>80</v>
      </c>
      <c r="C14" s="3" t="s">
        <v>179</v>
      </c>
      <c r="D14" s="3" t="s">
        <v>81</v>
      </c>
      <c r="E14" s="3" t="s">
        <v>20</v>
      </c>
      <c r="F14" s="3" t="s">
        <v>20</v>
      </c>
    </row>
    <row r="15" spans="1:6" x14ac:dyDescent="0.25">
      <c r="A15" s="3">
        <v>14</v>
      </c>
      <c r="B15" s="3" t="s">
        <v>82</v>
      </c>
      <c r="C15" s="3" t="s">
        <v>83</v>
      </c>
      <c r="D15" s="3" t="s">
        <v>84</v>
      </c>
      <c r="E15" s="3" t="s">
        <v>20</v>
      </c>
      <c r="F15" s="3" t="s">
        <v>20</v>
      </c>
    </row>
    <row r="16" spans="1:6" x14ac:dyDescent="0.25">
      <c r="A16" s="3">
        <v>15</v>
      </c>
      <c r="B16" s="3" t="s">
        <v>85</v>
      </c>
      <c r="C16" s="3" t="s">
        <v>86</v>
      </c>
      <c r="D16" s="3" t="s">
        <v>87</v>
      </c>
      <c r="E16" s="3" t="s">
        <v>17</v>
      </c>
      <c r="F16" s="3" t="s">
        <v>17</v>
      </c>
    </row>
    <row r="17" spans="1:6" x14ac:dyDescent="0.25">
      <c r="A17" s="3">
        <v>16</v>
      </c>
      <c r="B17" s="3" t="s">
        <v>88</v>
      </c>
      <c r="C17" s="3" t="s">
        <v>89</v>
      </c>
      <c r="D17" s="3" t="s">
        <v>90</v>
      </c>
      <c r="E17" s="3" t="s">
        <v>15</v>
      </c>
      <c r="F17" s="3" t="s">
        <v>15</v>
      </c>
    </row>
    <row r="18" spans="1:6" x14ac:dyDescent="0.25">
      <c r="A18" s="3">
        <v>17</v>
      </c>
      <c r="B18" s="3" t="s">
        <v>91</v>
      </c>
      <c r="C18" s="3" t="s">
        <v>91</v>
      </c>
      <c r="D18" s="3" t="s">
        <v>92</v>
      </c>
      <c r="E18" s="3" t="s">
        <v>20</v>
      </c>
      <c r="F18" s="3" t="s">
        <v>20</v>
      </c>
    </row>
    <row r="19" spans="1:6" x14ac:dyDescent="0.25">
      <c r="A19" s="3">
        <v>18</v>
      </c>
      <c r="B19" s="3" t="s">
        <v>93</v>
      </c>
      <c r="C19" s="3" t="s">
        <v>93</v>
      </c>
      <c r="D19" s="3" t="s">
        <v>94</v>
      </c>
      <c r="E19" s="3" t="s">
        <v>19</v>
      </c>
      <c r="F19" s="3" t="s">
        <v>19</v>
      </c>
    </row>
    <row r="20" spans="1:6" x14ac:dyDescent="0.25">
      <c r="A20" s="3">
        <v>19</v>
      </c>
      <c r="B20" s="3" t="s">
        <v>95</v>
      </c>
      <c r="C20" s="3" t="s">
        <v>96</v>
      </c>
      <c r="D20" s="3" t="s">
        <v>97</v>
      </c>
      <c r="E20" s="3" t="s">
        <v>15</v>
      </c>
      <c r="F20" s="3" t="s">
        <v>15</v>
      </c>
    </row>
    <row r="21" spans="1:6" x14ac:dyDescent="0.25">
      <c r="A21" s="3">
        <v>20</v>
      </c>
      <c r="B21" s="3" t="s">
        <v>98</v>
      </c>
      <c r="C21" s="3" t="s">
        <v>99</v>
      </c>
      <c r="D21" s="3" t="s">
        <v>100</v>
      </c>
      <c r="E21" s="3" t="s">
        <v>15</v>
      </c>
      <c r="F21" s="3" t="s">
        <v>15</v>
      </c>
    </row>
    <row r="22" spans="1:6" x14ac:dyDescent="0.25">
      <c r="A22" s="3">
        <v>21</v>
      </c>
      <c r="B22" s="3" t="s">
        <v>101</v>
      </c>
      <c r="C22" s="3" t="s">
        <v>102</v>
      </c>
      <c r="D22" s="3" t="s">
        <v>103</v>
      </c>
      <c r="E22" s="3" t="s">
        <v>22</v>
      </c>
      <c r="F22" s="3" t="s">
        <v>22</v>
      </c>
    </row>
    <row r="23" spans="1:6" x14ac:dyDescent="0.25">
      <c r="A23" s="3">
        <v>22</v>
      </c>
      <c r="B23" s="3" t="s">
        <v>104</v>
      </c>
      <c r="C23" s="3" t="s">
        <v>104</v>
      </c>
      <c r="D23" s="3" t="s">
        <v>105</v>
      </c>
      <c r="E23" s="3" t="s">
        <v>22</v>
      </c>
      <c r="F23" s="3" t="s">
        <v>22</v>
      </c>
    </row>
    <row r="24" spans="1:6" x14ac:dyDescent="0.25">
      <c r="A24" s="3">
        <v>23</v>
      </c>
      <c r="B24" s="3" t="s">
        <v>106</v>
      </c>
      <c r="C24" s="3" t="s">
        <v>107</v>
      </c>
      <c r="D24" s="3" t="s">
        <v>108</v>
      </c>
      <c r="E24" s="3" t="s">
        <v>22</v>
      </c>
      <c r="F24" s="3" t="s">
        <v>22</v>
      </c>
    </row>
    <row r="25" spans="1:6" x14ac:dyDescent="0.25">
      <c r="A25" s="3">
        <v>24</v>
      </c>
      <c r="B25" s="3" t="s">
        <v>109</v>
      </c>
      <c r="C25" s="3" t="s">
        <v>110</v>
      </c>
      <c r="D25" s="3" t="s">
        <v>111</v>
      </c>
      <c r="E25" s="3" t="s">
        <v>22</v>
      </c>
      <c r="F25" s="3" t="s">
        <v>22</v>
      </c>
    </row>
    <row r="26" spans="1:6" x14ac:dyDescent="0.25">
      <c r="A26" s="3">
        <v>25</v>
      </c>
      <c r="B26" s="3" t="s">
        <v>112</v>
      </c>
      <c r="C26" s="3" t="s">
        <v>113</v>
      </c>
      <c r="D26" s="3" t="s">
        <v>114</v>
      </c>
      <c r="E26" s="3" t="s">
        <v>19</v>
      </c>
      <c r="F26" s="3" t="s">
        <v>19</v>
      </c>
    </row>
    <row r="27" spans="1:6" x14ac:dyDescent="0.25">
      <c r="A27" s="3">
        <v>26</v>
      </c>
      <c r="B27" s="3" t="s">
        <v>115</v>
      </c>
      <c r="C27" s="3" t="s">
        <v>116</v>
      </c>
      <c r="D27" s="3" t="s">
        <v>117</v>
      </c>
      <c r="E27" s="3" t="s">
        <v>22</v>
      </c>
      <c r="F27" s="3" t="s">
        <v>22</v>
      </c>
    </row>
    <row r="28" spans="1:6" x14ac:dyDescent="0.25">
      <c r="A28" s="3">
        <v>27</v>
      </c>
      <c r="B28" s="3" t="s">
        <v>118</v>
      </c>
      <c r="C28" s="3" t="s">
        <v>119</v>
      </c>
      <c r="D28" s="3" t="s">
        <v>120</v>
      </c>
      <c r="E28" s="3" t="s">
        <v>17</v>
      </c>
      <c r="F28" s="3" t="s">
        <v>17</v>
      </c>
    </row>
    <row r="29" spans="1:6" x14ac:dyDescent="0.25">
      <c r="A29" s="3">
        <v>28</v>
      </c>
      <c r="B29" s="3" t="s">
        <v>121</v>
      </c>
      <c r="C29" s="3" t="s">
        <v>122</v>
      </c>
      <c r="D29" s="3" t="s">
        <v>123</v>
      </c>
      <c r="E29" s="3" t="s">
        <v>22</v>
      </c>
      <c r="F29" s="3" t="s">
        <v>22</v>
      </c>
    </row>
    <row r="30" spans="1:6" x14ac:dyDescent="0.25">
      <c r="A30" s="3">
        <v>29</v>
      </c>
      <c r="B30" s="3" t="s">
        <v>124</v>
      </c>
      <c r="C30" s="3" t="s">
        <v>125</v>
      </c>
      <c r="D30" s="3" t="s">
        <v>126</v>
      </c>
      <c r="E30" s="3" t="s">
        <v>20</v>
      </c>
      <c r="F30" s="3" t="s">
        <v>20</v>
      </c>
    </row>
    <row r="31" spans="1:6" x14ac:dyDescent="0.25">
      <c r="A31" s="3">
        <v>30</v>
      </c>
      <c r="B31" s="3" t="s">
        <v>127</v>
      </c>
      <c r="C31" s="3" t="s">
        <v>128</v>
      </c>
      <c r="D31" s="3" t="s">
        <v>129</v>
      </c>
      <c r="E31" s="3" t="s">
        <v>19</v>
      </c>
      <c r="F31" s="3" t="s">
        <v>19</v>
      </c>
    </row>
    <row r="32" spans="1:6" x14ac:dyDescent="0.25">
      <c r="A32" s="3">
        <v>31</v>
      </c>
      <c r="B32" s="3" t="s">
        <v>130</v>
      </c>
      <c r="C32" s="3" t="s">
        <v>131</v>
      </c>
      <c r="D32" s="3" t="s">
        <v>132</v>
      </c>
      <c r="E32" s="3" t="s">
        <v>15</v>
      </c>
      <c r="F32" s="3" t="s">
        <v>15</v>
      </c>
    </row>
    <row r="33" spans="1:6" x14ac:dyDescent="0.25">
      <c r="A33" s="3">
        <v>32</v>
      </c>
      <c r="B33" s="3" t="s">
        <v>133</v>
      </c>
      <c r="C33" s="3" t="s">
        <v>134</v>
      </c>
      <c r="D33" s="3" t="s">
        <v>135</v>
      </c>
      <c r="E33" s="3" t="s">
        <v>15</v>
      </c>
      <c r="F33" s="3" t="s">
        <v>15</v>
      </c>
    </row>
    <row r="34" spans="1:6" x14ac:dyDescent="0.25">
      <c r="A34" s="3">
        <v>33</v>
      </c>
      <c r="B34" s="3" t="s">
        <v>136</v>
      </c>
      <c r="C34" s="3" t="s">
        <v>137</v>
      </c>
      <c r="D34" s="3" t="s">
        <v>138</v>
      </c>
      <c r="E34" s="3" t="s">
        <v>24</v>
      </c>
      <c r="F34" s="3" t="s">
        <v>24</v>
      </c>
    </row>
    <row r="35" spans="1:6" x14ac:dyDescent="0.25">
      <c r="A35" s="3">
        <v>34</v>
      </c>
      <c r="B35" s="3" t="s">
        <v>139</v>
      </c>
      <c r="C35" s="3" t="s">
        <v>139</v>
      </c>
      <c r="D35" s="3" t="s">
        <v>140</v>
      </c>
      <c r="E35" s="3" t="s">
        <v>19</v>
      </c>
      <c r="F35" s="3" t="s">
        <v>19</v>
      </c>
    </row>
    <row r="36" spans="1:6" x14ac:dyDescent="0.25">
      <c r="A36" s="3">
        <v>35</v>
      </c>
      <c r="B36" s="3" t="s">
        <v>141</v>
      </c>
      <c r="C36" s="3" t="s">
        <v>142</v>
      </c>
      <c r="D36" s="3" t="s">
        <v>143</v>
      </c>
      <c r="E36" s="3" t="s">
        <v>17</v>
      </c>
      <c r="F36" s="3" t="s">
        <v>17</v>
      </c>
    </row>
    <row r="37" spans="1:6" x14ac:dyDescent="0.25">
      <c r="A37" s="3">
        <v>36</v>
      </c>
      <c r="B37" s="3" t="s">
        <v>144</v>
      </c>
      <c r="C37" s="3" t="s">
        <v>145</v>
      </c>
      <c r="D37" s="3" t="s">
        <v>146</v>
      </c>
      <c r="E37" s="3" t="s">
        <v>15</v>
      </c>
      <c r="F37" s="3" t="s">
        <v>15</v>
      </c>
    </row>
    <row r="38" spans="1:6" x14ac:dyDescent="0.25">
      <c r="A38" s="3">
        <v>37</v>
      </c>
      <c r="B38" s="3" t="s">
        <v>147</v>
      </c>
      <c r="C38" s="3" t="s">
        <v>148</v>
      </c>
      <c r="D38" s="3" t="s">
        <v>149</v>
      </c>
      <c r="E38" s="3" t="s">
        <v>20</v>
      </c>
      <c r="F38" s="3" t="s">
        <v>20</v>
      </c>
    </row>
    <row r="39" spans="1:6" ht="30" x14ac:dyDescent="0.25">
      <c r="A39" s="3">
        <v>38</v>
      </c>
      <c r="B39" s="3" t="s">
        <v>150</v>
      </c>
      <c r="C39" s="3" t="s">
        <v>151</v>
      </c>
      <c r="D39" s="3" t="s">
        <v>152</v>
      </c>
      <c r="E39" s="3" t="s">
        <v>20</v>
      </c>
      <c r="F39" s="3" t="s">
        <v>20</v>
      </c>
    </row>
    <row r="40" spans="1:6" x14ac:dyDescent="0.25">
      <c r="A40" s="3">
        <v>39</v>
      </c>
      <c r="B40" s="3" t="s">
        <v>153</v>
      </c>
      <c r="C40" s="3" t="s">
        <v>153</v>
      </c>
      <c r="D40" s="3" t="s">
        <v>154</v>
      </c>
      <c r="E40" s="3" t="s">
        <v>20</v>
      </c>
      <c r="F40" s="3" t="s">
        <v>20</v>
      </c>
    </row>
    <row r="41" spans="1:6" x14ac:dyDescent="0.25">
      <c r="A41" s="3">
        <v>40</v>
      </c>
      <c r="B41" s="3" t="s">
        <v>155</v>
      </c>
      <c r="C41" s="3" t="s">
        <v>156</v>
      </c>
      <c r="D41" s="3" t="s">
        <v>157</v>
      </c>
      <c r="E41" s="3" t="s">
        <v>15</v>
      </c>
      <c r="F41" s="3" t="s">
        <v>15</v>
      </c>
    </row>
    <row r="42" spans="1:6" x14ac:dyDescent="0.25">
      <c r="A42" s="3">
        <v>41</v>
      </c>
      <c r="B42" s="3" t="s">
        <v>158</v>
      </c>
      <c r="C42" s="3" t="s">
        <v>159</v>
      </c>
      <c r="D42" s="3" t="s">
        <v>160</v>
      </c>
      <c r="E42" s="3" t="s">
        <v>15</v>
      </c>
      <c r="F42" s="3" t="s">
        <v>15</v>
      </c>
    </row>
    <row r="43" spans="1:6" x14ac:dyDescent="0.25">
      <c r="A43" s="3">
        <v>42</v>
      </c>
      <c r="B43" s="3" t="s">
        <v>161</v>
      </c>
      <c r="C43" s="3" t="s">
        <v>162</v>
      </c>
      <c r="D43" s="3" t="s">
        <v>163</v>
      </c>
      <c r="E43" s="3" t="s">
        <v>15</v>
      </c>
      <c r="F43" s="3" t="s">
        <v>15</v>
      </c>
    </row>
    <row r="44" spans="1:6" x14ac:dyDescent="0.25">
      <c r="A44" s="3">
        <v>43</v>
      </c>
      <c r="B44" s="3" t="s">
        <v>164</v>
      </c>
      <c r="C44" s="3" t="s">
        <v>165</v>
      </c>
      <c r="D44" s="3" t="s">
        <v>166</v>
      </c>
      <c r="E44" s="3" t="s">
        <v>20</v>
      </c>
      <c r="F44" s="3" t="s">
        <v>20</v>
      </c>
    </row>
    <row r="45" spans="1:6" x14ac:dyDescent="0.25">
      <c r="A45" s="3">
        <v>44</v>
      </c>
      <c r="B45" s="3" t="s">
        <v>167</v>
      </c>
      <c r="C45" s="3" t="s">
        <v>180</v>
      </c>
      <c r="D45" s="3" t="s">
        <v>168</v>
      </c>
      <c r="E45" s="3" t="s">
        <v>15</v>
      </c>
      <c r="F45" s="3" t="s">
        <v>15</v>
      </c>
    </row>
    <row r="46" spans="1:6" x14ac:dyDescent="0.25">
      <c r="A46" s="3">
        <v>45</v>
      </c>
      <c r="B46" s="3" t="s">
        <v>169</v>
      </c>
      <c r="C46" s="3" t="s">
        <v>170</v>
      </c>
      <c r="D46" s="3" t="s">
        <v>169</v>
      </c>
      <c r="E46" s="3" t="s">
        <v>19</v>
      </c>
      <c r="F46" s="3" t="s">
        <v>19</v>
      </c>
    </row>
    <row r="47" spans="1:6" x14ac:dyDescent="0.25">
      <c r="A47" s="3">
        <v>46</v>
      </c>
      <c r="B47" s="3" t="s">
        <v>171</v>
      </c>
      <c r="C47" s="3" t="s">
        <v>172</v>
      </c>
      <c r="D47" s="3" t="s">
        <v>173</v>
      </c>
      <c r="E47" s="3" t="s">
        <v>17</v>
      </c>
      <c r="F47" s="3" t="s">
        <v>17</v>
      </c>
    </row>
    <row r="48" spans="1:6" x14ac:dyDescent="0.25">
      <c r="A48" s="3">
        <v>47</v>
      </c>
      <c r="B48" s="3" t="s">
        <v>174</v>
      </c>
      <c r="C48" s="3" t="s">
        <v>174</v>
      </c>
      <c r="D48" s="3" t="s">
        <v>175</v>
      </c>
      <c r="E48" s="3" t="s">
        <v>22</v>
      </c>
      <c r="F48" s="3" t="s">
        <v>22</v>
      </c>
    </row>
    <row r="49" spans="1:6" ht="30" x14ac:dyDescent="0.25">
      <c r="A49" s="3">
        <v>48</v>
      </c>
      <c r="B49" s="3" t="s">
        <v>176</v>
      </c>
      <c r="C49" s="3" t="s">
        <v>178</v>
      </c>
      <c r="D49" s="3" t="s">
        <v>177</v>
      </c>
      <c r="E49" s="3" t="s">
        <v>20</v>
      </c>
      <c r="F49" s="3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1941C-AF83-4488-ADED-0E3274FFFFA2}">
  <sheetPr>
    <tabColor theme="6" tint="0.79998168889431442"/>
  </sheetPr>
  <dimension ref="A1:E7"/>
  <sheetViews>
    <sheetView workbookViewId="0">
      <selection activeCell="F13" sqref="F13"/>
    </sheetView>
  </sheetViews>
  <sheetFormatPr defaultRowHeight="15" x14ac:dyDescent="0.25"/>
  <cols>
    <col min="1" max="1" width="19.7109375" customWidth="1"/>
    <col min="2" max="2" width="24.85546875" customWidth="1"/>
    <col min="3" max="3" width="16.140625" customWidth="1"/>
    <col min="4" max="4" width="15" customWidth="1"/>
    <col min="5" max="5" width="12.7109375" customWidth="1"/>
  </cols>
  <sheetData>
    <row r="1" spans="1:5" ht="15.75" thickBot="1" x14ac:dyDescent="0.3">
      <c r="A1" s="5" t="s">
        <v>3</v>
      </c>
      <c r="B1" s="6" t="s">
        <v>4</v>
      </c>
      <c r="C1" s="6" t="s">
        <v>26</v>
      </c>
      <c r="D1" s="6" t="s">
        <v>5</v>
      </c>
      <c r="E1" s="7" t="s">
        <v>28</v>
      </c>
    </row>
    <row r="2" spans="1:5" ht="15.75" thickBot="1" x14ac:dyDescent="0.3">
      <c r="A2" s="4" t="s">
        <v>15</v>
      </c>
      <c r="B2" s="1" t="s">
        <v>15</v>
      </c>
      <c r="C2" s="1" t="s">
        <v>16</v>
      </c>
      <c r="D2" s="1">
        <v>1</v>
      </c>
      <c r="E2">
        <v>55</v>
      </c>
    </row>
    <row r="3" spans="1:5" ht="15.75" thickBot="1" x14ac:dyDescent="0.3">
      <c r="A3" s="4" t="s">
        <v>17</v>
      </c>
      <c r="B3" s="1" t="s">
        <v>17</v>
      </c>
      <c r="C3" s="1" t="s">
        <v>18</v>
      </c>
      <c r="D3" s="1">
        <v>2</v>
      </c>
      <c r="E3">
        <v>10</v>
      </c>
    </row>
    <row r="4" spans="1:5" ht="24.75" thickBot="1" x14ac:dyDescent="0.3">
      <c r="A4" s="4" t="s">
        <v>19</v>
      </c>
      <c r="B4" s="1" t="s">
        <v>19</v>
      </c>
      <c r="C4" s="1" t="s">
        <v>27</v>
      </c>
      <c r="D4" s="1">
        <v>3</v>
      </c>
      <c r="E4">
        <v>41</v>
      </c>
    </row>
    <row r="5" spans="1:5" ht="15.75" thickBot="1" x14ac:dyDescent="0.3">
      <c r="A5" s="4" t="s">
        <v>20</v>
      </c>
      <c r="B5" s="1" t="s">
        <v>20</v>
      </c>
      <c r="C5" s="1" t="s">
        <v>21</v>
      </c>
      <c r="D5" s="1">
        <v>4</v>
      </c>
      <c r="E5">
        <v>54</v>
      </c>
    </row>
    <row r="6" spans="1:5" ht="15.75" thickBot="1" x14ac:dyDescent="0.3">
      <c r="A6" s="4" t="s">
        <v>22</v>
      </c>
      <c r="B6" s="1" t="s">
        <v>22</v>
      </c>
      <c r="C6" s="1" t="s">
        <v>23</v>
      </c>
      <c r="D6" s="1">
        <v>5</v>
      </c>
      <c r="E6">
        <v>47</v>
      </c>
    </row>
    <row r="7" spans="1:5" ht="15.75" thickBot="1" x14ac:dyDescent="0.3">
      <c r="A7" s="4" t="s">
        <v>24</v>
      </c>
      <c r="B7" s="1" t="s">
        <v>24</v>
      </c>
      <c r="C7" s="1" t="s">
        <v>25</v>
      </c>
      <c r="D7" s="1">
        <v>6</v>
      </c>
      <c r="E7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1A08-DE67-4F47-B31E-C0E1581BD011}">
  <sheetPr>
    <tabColor theme="6" tint="0.79998168889431442"/>
  </sheetPr>
  <dimension ref="A1:D8"/>
  <sheetViews>
    <sheetView workbookViewId="0">
      <selection activeCell="D13" sqref="D13"/>
    </sheetView>
  </sheetViews>
  <sheetFormatPr defaultRowHeight="15" x14ac:dyDescent="0.25"/>
  <cols>
    <col min="1" max="1" width="9" customWidth="1"/>
    <col min="2" max="2" width="17.7109375" customWidth="1"/>
    <col min="3" max="3" width="11.7109375" customWidth="1"/>
    <col min="4" max="4" width="15" customWidth="1"/>
  </cols>
  <sheetData>
    <row r="1" spans="1:4" ht="15.75" thickBot="1" x14ac:dyDescent="0.3">
      <c r="A1" s="10" t="s">
        <v>6</v>
      </c>
      <c r="B1" s="11" t="s">
        <v>7</v>
      </c>
      <c r="C1" s="11" t="s">
        <v>8</v>
      </c>
      <c r="D1" s="12" t="s">
        <v>29</v>
      </c>
    </row>
    <row r="2" spans="1:4" ht="15.75" thickBot="1" x14ac:dyDescent="0.3">
      <c r="A2" s="4" t="s">
        <v>30</v>
      </c>
      <c r="B2" s="1" t="s">
        <v>31</v>
      </c>
      <c r="C2" s="1">
        <v>1</v>
      </c>
      <c r="D2" s="8" t="s">
        <v>32</v>
      </c>
    </row>
    <row r="3" spans="1:4" ht="15.75" thickBot="1" x14ac:dyDescent="0.3">
      <c r="A3" s="4" t="s">
        <v>33</v>
      </c>
      <c r="B3" s="1" t="s">
        <v>34</v>
      </c>
      <c r="C3" s="1">
        <v>2</v>
      </c>
      <c r="D3" s="8" t="s">
        <v>35</v>
      </c>
    </row>
    <row r="4" spans="1:4" ht="15.75" thickBot="1" x14ac:dyDescent="0.3">
      <c r="A4" s="4" t="s">
        <v>36</v>
      </c>
      <c r="B4" s="1" t="s">
        <v>37</v>
      </c>
      <c r="C4" s="1">
        <v>3</v>
      </c>
      <c r="D4" s="8" t="s">
        <v>35</v>
      </c>
    </row>
    <row r="5" spans="1:4" ht="15.75" thickBot="1" x14ac:dyDescent="0.3">
      <c r="A5" s="4" t="s">
        <v>38</v>
      </c>
      <c r="B5" s="1" t="s">
        <v>39</v>
      </c>
      <c r="C5" s="1">
        <v>4</v>
      </c>
      <c r="D5" s="8" t="s">
        <v>35</v>
      </c>
    </row>
    <row r="6" spans="1:4" ht="15.75" thickBot="1" x14ac:dyDescent="0.3">
      <c r="A6" s="4" t="s">
        <v>40</v>
      </c>
      <c r="B6" s="1" t="s">
        <v>41</v>
      </c>
      <c r="C6" s="1">
        <v>5</v>
      </c>
      <c r="D6" s="8" t="s">
        <v>35</v>
      </c>
    </row>
    <row r="7" spans="1:4" ht="15.75" thickBot="1" x14ac:dyDescent="0.3">
      <c r="A7" s="4" t="s">
        <v>42</v>
      </c>
      <c r="B7" s="1" t="s">
        <v>43</v>
      </c>
      <c r="C7" s="1">
        <v>6</v>
      </c>
      <c r="D7" s="8" t="s">
        <v>35</v>
      </c>
    </row>
    <row r="8" spans="1:4" ht="15.75" thickBot="1" x14ac:dyDescent="0.3">
      <c r="A8" s="4" t="s">
        <v>44</v>
      </c>
      <c r="B8" s="1" t="s">
        <v>45</v>
      </c>
      <c r="C8" s="1">
        <v>7</v>
      </c>
      <c r="D8" s="9" t="s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4E30-4078-44BC-8306-A86BC3ADD2D1}">
  <sheetPr>
    <tabColor theme="6" tint="0.79998168889431442"/>
  </sheetPr>
  <dimension ref="A1:H105"/>
  <sheetViews>
    <sheetView tabSelected="1" topLeftCell="A67" workbookViewId="0">
      <selection activeCell="G109" sqref="G109"/>
    </sheetView>
  </sheetViews>
  <sheetFormatPr defaultRowHeight="15" x14ac:dyDescent="0.25"/>
  <cols>
    <col min="2" max="3" width="29.28515625" bestFit="1" customWidth="1"/>
    <col min="7" max="7" width="28.42578125" bestFit="1" customWidth="1"/>
  </cols>
  <sheetData>
    <row r="1" spans="1:8" x14ac:dyDescent="0.25">
      <c r="A1" s="19" t="s">
        <v>9</v>
      </c>
      <c r="B1" s="20" t="s">
        <v>182</v>
      </c>
      <c r="C1" s="20" t="s">
        <v>181</v>
      </c>
      <c r="D1" s="20" t="s">
        <v>10</v>
      </c>
      <c r="E1" s="20" t="s">
        <v>11</v>
      </c>
      <c r="F1" s="20" t="s">
        <v>12</v>
      </c>
      <c r="G1" s="20" t="s">
        <v>13</v>
      </c>
      <c r="H1" s="21" t="s">
        <v>14</v>
      </c>
    </row>
    <row r="2" spans="1:8" x14ac:dyDescent="0.25">
      <c r="A2" s="18">
        <v>1</v>
      </c>
      <c r="B2" s="17" t="s">
        <v>128</v>
      </c>
      <c r="C2" s="17" t="s">
        <v>148</v>
      </c>
      <c r="D2" s="13">
        <v>1.1000000000000001</v>
      </c>
      <c r="E2" s="13">
        <v>23.8</v>
      </c>
      <c r="F2" s="13">
        <v>21.5</v>
      </c>
      <c r="G2" s="13" t="str">
        <f>IF(D2&lt;F2,B2,C2)</f>
        <v>Mexico</v>
      </c>
      <c r="H2" s="14">
        <v>1</v>
      </c>
    </row>
    <row r="3" spans="1:8" x14ac:dyDescent="0.25">
      <c r="A3" s="18">
        <v>2</v>
      </c>
      <c r="B3" s="17" t="s">
        <v>122</v>
      </c>
      <c r="C3" s="17" t="s">
        <v>78</v>
      </c>
      <c r="D3" s="15">
        <v>3.62</v>
      </c>
      <c r="E3" s="15">
        <v>2.5</v>
      </c>
      <c r="F3" s="15">
        <v>3.08</v>
      </c>
      <c r="G3" s="15" t="str">
        <f t="shared" ref="G3:G56" si="0">IF(D3&lt;F3,B3,C3)</f>
        <v>Czech Republic</v>
      </c>
      <c r="H3" s="16">
        <v>0</v>
      </c>
    </row>
    <row r="4" spans="1:8" x14ac:dyDescent="0.25">
      <c r="A4" s="18">
        <v>3</v>
      </c>
      <c r="B4" s="17" t="s">
        <v>113</v>
      </c>
      <c r="C4" s="17" t="s">
        <v>66</v>
      </c>
      <c r="D4" s="13">
        <v>1.91</v>
      </c>
      <c r="E4" s="13">
        <v>5.04</v>
      </c>
      <c r="F4" s="13">
        <v>3.59</v>
      </c>
      <c r="G4" s="13" t="str">
        <f t="shared" si="0"/>
        <v>Canada</v>
      </c>
      <c r="H4" s="14">
        <v>0</v>
      </c>
    </row>
    <row r="5" spans="1:8" x14ac:dyDescent="0.25">
      <c r="A5" s="18">
        <v>4</v>
      </c>
      <c r="B5" s="17" t="s">
        <v>170</v>
      </c>
      <c r="C5" s="17" t="s">
        <v>142</v>
      </c>
      <c r="D5" s="15">
        <v>1.31</v>
      </c>
      <c r="E5" s="15">
        <v>7.89</v>
      </c>
      <c r="F5" s="15">
        <v>9.2200000000000006</v>
      </c>
      <c r="G5" s="15" t="str">
        <f t="shared" si="0"/>
        <v>United States</v>
      </c>
      <c r="H5" s="16">
        <v>1</v>
      </c>
    </row>
    <row r="6" spans="1:8" x14ac:dyDescent="0.25">
      <c r="A6" s="18">
        <v>5</v>
      </c>
      <c r="B6" s="17" t="s">
        <v>93</v>
      </c>
      <c r="C6" s="17" t="s">
        <v>156</v>
      </c>
      <c r="D6">
        <v>51.6</v>
      </c>
      <c r="E6">
        <v>18.399999999999999</v>
      </c>
      <c r="F6">
        <v>1.08</v>
      </c>
      <c r="G6" t="str">
        <f t="shared" si="0"/>
        <v>Scotland</v>
      </c>
      <c r="H6">
        <v>1</v>
      </c>
    </row>
    <row r="7" spans="1:8" x14ac:dyDescent="0.25">
      <c r="A7" s="18">
        <v>6</v>
      </c>
      <c r="B7" s="17" t="s">
        <v>58</v>
      </c>
      <c r="C7" s="17" t="s">
        <v>180</v>
      </c>
      <c r="D7">
        <v>16.600000000000001</v>
      </c>
      <c r="E7">
        <v>8.02</v>
      </c>
      <c r="F7">
        <v>1.23</v>
      </c>
      <c r="G7" t="str">
        <f t="shared" si="0"/>
        <v>Turkey</v>
      </c>
      <c r="H7">
        <v>0</v>
      </c>
    </row>
    <row r="8" spans="1:8" x14ac:dyDescent="0.25">
      <c r="A8" s="18">
        <v>7</v>
      </c>
      <c r="B8" s="17" t="s">
        <v>69</v>
      </c>
      <c r="C8" s="17" t="s">
        <v>125</v>
      </c>
      <c r="D8">
        <v>1.18</v>
      </c>
      <c r="E8">
        <v>9.8699999999999992</v>
      </c>
      <c r="F8">
        <v>18.8</v>
      </c>
      <c r="G8" t="str">
        <f t="shared" si="0"/>
        <v>Brazil</v>
      </c>
      <c r="H8">
        <v>1</v>
      </c>
    </row>
    <row r="9" spans="1:8" x14ac:dyDescent="0.25">
      <c r="A9" s="18">
        <v>8</v>
      </c>
      <c r="B9" s="17" t="s">
        <v>116</v>
      </c>
      <c r="C9" s="17" t="s">
        <v>159</v>
      </c>
      <c r="D9">
        <v>39.700000000000003</v>
      </c>
      <c r="E9">
        <v>39.1</v>
      </c>
      <c r="F9">
        <v>1.05</v>
      </c>
      <c r="G9" t="str">
        <f t="shared" si="0"/>
        <v>Switzerland</v>
      </c>
      <c r="H9">
        <v>0</v>
      </c>
    </row>
    <row r="10" spans="1:8" x14ac:dyDescent="0.25">
      <c r="A10" s="18">
        <v>9</v>
      </c>
      <c r="B10" s="17" t="s">
        <v>178</v>
      </c>
      <c r="C10" s="17" t="s">
        <v>86</v>
      </c>
      <c r="D10">
        <v>3.53</v>
      </c>
      <c r="E10">
        <v>2.54</v>
      </c>
      <c r="F10">
        <v>3.1</v>
      </c>
      <c r="G10" t="str">
        <f t="shared" si="0"/>
        <v>Ecuador</v>
      </c>
      <c r="H10">
        <v>0</v>
      </c>
    </row>
    <row r="11" spans="1:8" x14ac:dyDescent="0.25">
      <c r="A11" s="18">
        <v>10</v>
      </c>
      <c r="B11" s="17" t="s">
        <v>131</v>
      </c>
      <c r="C11" s="17" t="s">
        <v>75</v>
      </c>
      <c r="D11">
        <v>1.01</v>
      </c>
      <c r="E11">
        <v>359</v>
      </c>
      <c r="F11">
        <v>190</v>
      </c>
      <c r="G11" t="str">
        <f t="shared" si="0"/>
        <v>Germany</v>
      </c>
      <c r="H11">
        <v>1</v>
      </c>
    </row>
    <row r="12" spans="1:8" x14ac:dyDescent="0.25">
      <c r="A12" s="18">
        <v>11</v>
      </c>
      <c r="B12" s="17" t="s">
        <v>99</v>
      </c>
      <c r="C12" s="17" t="s">
        <v>107</v>
      </c>
      <c r="D12">
        <v>1.34</v>
      </c>
      <c r="E12">
        <v>5.87</v>
      </c>
      <c r="F12">
        <v>11.7</v>
      </c>
      <c r="G12" t="str">
        <f t="shared" si="0"/>
        <v>Netherlands</v>
      </c>
      <c r="H12">
        <v>0</v>
      </c>
    </row>
    <row r="13" spans="1:8" x14ac:dyDescent="0.25">
      <c r="A13" s="18">
        <v>12</v>
      </c>
      <c r="B13" s="17" t="s">
        <v>162</v>
      </c>
      <c r="C13" s="17" t="s">
        <v>165</v>
      </c>
      <c r="D13">
        <v>1.22</v>
      </c>
      <c r="E13">
        <v>7.98</v>
      </c>
      <c r="F13">
        <v>17.5</v>
      </c>
      <c r="G13" t="str">
        <f t="shared" si="0"/>
        <v>Sweden</v>
      </c>
      <c r="H13">
        <v>1</v>
      </c>
    </row>
    <row r="14" spans="1:8" x14ac:dyDescent="0.25">
      <c r="A14" s="18">
        <v>13</v>
      </c>
      <c r="B14" s="17" t="s">
        <v>104</v>
      </c>
      <c r="C14" s="17" t="s">
        <v>137</v>
      </c>
      <c r="D14">
        <v>2.04</v>
      </c>
      <c r="E14">
        <v>3.33</v>
      </c>
      <c r="F14">
        <v>4.76</v>
      </c>
      <c r="G14" t="str">
        <f t="shared" si="0"/>
        <v>Iran</v>
      </c>
      <c r="H14">
        <v>0</v>
      </c>
    </row>
    <row r="15" spans="1:8" x14ac:dyDescent="0.25">
      <c r="A15" s="18">
        <v>14</v>
      </c>
      <c r="B15" s="17" t="s">
        <v>96</v>
      </c>
      <c r="C15" s="17" t="s">
        <v>151</v>
      </c>
      <c r="D15">
        <v>1.01</v>
      </c>
      <c r="E15">
        <v>379</v>
      </c>
      <c r="F15">
        <v>328</v>
      </c>
      <c r="G15" t="str">
        <f t="shared" si="0"/>
        <v>Spain</v>
      </c>
      <c r="H15">
        <v>0</v>
      </c>
    </row>
    <row r="16" spans="1:8" x14ac:dyDescent="0.25">
      <c r="A16" s="18">
        <v>15</v>
      </c>
      <c r="B16" s="17" t="s">
        <v>63</v>
      </c>
      <c r="C16" s="17" t="s">
        <v>83</v>
      </c>
      <c r="D16">
        <v>1.1299999999999999</v>
      </c>
      <c r="E16">
        <v>11.9</v>
      </c>
      <c r="F16">
        <v>29.7</v>
      </c>
      <c r="G16" t="str">
        <f t="shared" si="0"/>
        <v>Belgium</v>
      </c>
      <c r="H16">
        <v>0</v>
      </c>
    </row>
    <row r="17" spans="1:8" x14ac:dyDescent="0.25">
      <c r="A17" s="18">
        <v>16</v>
      </c>
      <c r="B17" s="17" t="s">
        <v>53</v>
      </c>
      <c r="C17" s="17" t="s">
        <v>172</v>
      </c>
      <c r="D17">
        <v>22.2</v>
      </c>
      <c r="E17">
        <v>11</v>
      </c>
      <c r="F17">
        <v>1.1599999999999999</v>
      </c>
      <c r="G17" t="str">
        <f t="shared" si="0"/>
        <v>Uruguay</v>
      </c>
      <c r="H17">
        <v>0</v>
      </c>
    </row>
    <row r="18" spans="1:8" x14ac:dyDescent="0.25">
      <c r="A18" s="18">
        <v>17</v>
      </c>
      <c r="B18" s="17" t="s">
        <v>89</v>
      </c>
      <c r="C18" s="17" t="s">
        <v>153</v>
      </c>
      <c r="D18">
        <v>1.04</v>
      </c>
      <c r="E18">
        <v>38</v>
      </c>
      <c r="F18">
        <v>114</v>
      </c>
      <c r="G18" t="str">
        <f t="shared" si="0"/>
        <v>France</v>
      </c>
      <c r="H18">
        <v>1</v>
      </c>
    </row>
    <row r="19" spans="1:8" x14ac:dyDescent="0.25">
      <c r="A19" s="18">
        <v>18</v>
      </c>
      <c r="B19" s="17" t="s">
        <v>102</v>
      </c>
      <c r="C19" s="17" t="s">
        <v>134</v>
      </c>
      <c r="D19">
        <v>59.5</v>
      </c>
      <c r="E19">
        <v>18.399999999999999</v>
      </c>
      <c r="F19">
        <v>1.08</v>
      </c>
      <c r="G19" t="str">
        <f t="shared" si="0"/>
        <v>Norway</v>
      </c>
      <c r="H19">
        <v>1</v>
      </c>
    </row>
    <row r="20" spans="1:8" x14ac:dyDescent="0.25">
      <c r="A20" s="18">
        <v>19</v>
      </c>
      <c r="B20" s="17" t="s">
        <v>56</v>
      </c>
      <c r="C20" s="17" t="s">
        <v>47</v>
      </c>
      <c r="D20">
        <v>1.06</v>
      </c>
      <c r="E20">
        <v>21.6</v>
      </c>
      <c r="F20">
        <v>93.6</v>
      </c>
      <c r="G20" t="str">
        <f t="shared" si="0"/>
        <v>Argentina</v>
      </c>
      <c r="H20">
        <v>1</v>
      </c>
    </row>
    <row r="21" spans="1:8" x14ac:dyDescent="0.25">
      <c r="A21" s="18">
        <v>20</v>
      </c>
      <c r="B21" s="17" t="s">
        <v>60</v>
      </c>
      <c r="C21" s="17" t="s">
        <v>110</v>
      </c>
      <c r="D21">
        <v>1.08</v>
      </c>
      <c r="E21">
        <v>16.3</v>
      </c>
      <c r="F21">
        <v>86.3</v>
      </c>
      <c r="G21" t="str">
        <f t="shared" si="0"/>
        <v>Austria</v>
      </c>
      <c r="H21">
        <v>1</v>
      </c>
    </row>
    <row r="22" spans="1:8" x14ac:dyDescent="0.25">
      <c r="A22" s="18">
        <v>21</v>
      </c>
      <c r="B22" s="17" t="s">
        <v>145</v>
      </c>
      <c r="C22" s="17" t="s">
        <v>179</v>
      </c>
      <c r="D22">
        <v>1.02</v>
      </c>
      <c r="E22">
        <v>90.1</v>
      </c>
      <c r="F22">
        <v>224</v>
      </c>
      <c r="G22" t="str">
        <f t="shared" si="0"/>
        <v>Portugal</v>
      </c>
      <c r="H22">
        <v>0</v>
      </c>
    </row>
    <row r="23" spans="1:8" x14ac:dyDescent="0.25">
      <c r="A23" s="18">
        <v>22</v>
      </c>
      <c r="B23" s="17" t="s">
        <v>50</v>
      </c>
      <c r="C23" s="17" t="s">
        <v>72</v>
      </c>
      <c r="D23">
        <v>1.45</v>
      </c>
      <c r="E23">
        <v>3.94</v>
      </c>
      <c r="F23">
        <v>17.399999999999999</v>
      </c>
      <c r="G23" t="str">
        <f t="shared" si="0"/>
        <v>England</v>
      </c>
      <c r="H23">
        <v>1</v>
      </c>
    </row>
    <row r="24" spans="1:8" x14ac:dyDescent="0.25">
      <c r="A24" s="18">
        <v>23</v>
      </c>
      <c r="B24" s="17" t="s">
        <v>174</v>
      </c>
      <c r="C24" s="17" t="s">
        <v>119</v>
      </c>
      <c r="D24">
        <v>36.9</v>
      </c>
      <c r="E24">
        <v>14.2</v>
      </c>
      <c r="F24">
        <v>1.1100000000000001</v>
      </c>
      <c r="G24" t="str">
        <f t="shared" si="0"/>
        <v>Colombia</v>
      </c>
      <c r="H24">
        <v>1</v>
      </c>
    </row>
    <row r="25" spans="1:8" x14ac:dyDescent="0.25">
      <c r="A25" s="18">
        <v>24</v>
      </c>
      <c r="B25" s="17" t="s">
        <v>91</v>
      </c>
      <c r="C25" s="17" t="s">
        <v>139</v>
      </c>
      <c r="D25">
        <v>1.65</v>
      </c>
      <c r="E25">
        <v>3</v>
      </c>
      <c r="F25">
        <v>16.600000000000001</v>
      </c>
      <c r="G25" t="str">
        <f t="shared" si="0"/>
        <v>Ghana</v>
      </c>
      <c r="H25">
        <v>1</v>
      </c>
    </row>
    <row r="26" spans="1:8" x14ac:dyDescent="0.25">
      <c r="A26" s="18">
        <v>25</v>
      </c>
      <c r="B26" s="17" t="s">
        <v>128</v>
      </c>
      <c r="C26" s="17" t="s">
        <v>122</v>
      </c>
      <c r="D26">
        <v>1.86</v>
      </c>
      <c r="E26">
        <v>3.25</v>
      </c>
      <c r="F26">
        <v>6.44</v>
      </c>
      <c r="G26" t="str">
        <f t="shared" si="0"/>
        <v>Mexico</v>
      </c>
      <c r="H26">
        <v>1</v>
      </c>
    </row>
    <row r="27" spans="1:8" x14ac:dyDescent="0.25">
      <c r="A27" s="18">
        <v>26</v>
      </c>
      <c r="B27" s="17" t="s">
        <v>159</v>
      </c>
      <c r="C27" s="17" t="s">
        <v>66</v>
      </c>
      <c r="D27">
        <v>1.31</v>
      </c>
      <c r="E27">
        <v>6.01</v>
      </c>
      <c r="F27">
        <v>14.1</v>
      </c>
      <c r="G27" t="str">
        <f t="shared" si="0"/>
        <v>Switzerland</v>
      </c>
      <c r="H27">
        <v>1</v>
      </c>
    </row>
    <row r="28" spans="1:8" x14ac:dyDescent="0.25">
      <c r="A28" s="18">
        <v>27</v>
      </c>
      <c r="B28" s="17" t="s">
        <v>113</v>
      </c>
      <c r="C28" s="17" t="s">
        <v>116</v>
      </c>
      <c r="D28">
        <v>1.18</v>
      </c>
      <c r="E28">
        <v>9.09</v>
      </c>
      <c r="F28">
        <v>24.6</v>
      </c>
      <c r="G28" t="str">
        <f t="shared" si="0"/>
        <v>Canada</v>
      </c>
      <c r="H28">
        <v>1</v>
      </c>
    </row>
    <row r="29" spans="1:8" x14ac:dyDescent="0.25">
      <c r="A29" s="18">
        <v>28</v>
      </c>
      <c r="B29" s="17" t="s">
        <v>78</v>
      </c>
      <c r="C29" s="17" t="s">
        <v>148</v>
      </c>
      <c r="D29">
        <v>1.3</v>
      </c>
      <c r="E29">
        <v>6.79</v>
      </c>
      <c r="F29">
        <v>12.1</v>
      </c>
      <c r="G29" t="str">
        <f t="shared" si="0"/>
        <v>Czech Republic</v>
      </c>
      <c r="H29">
        <v>0</v>
      </c>
    </row>
    <row r="30" spans="1:8" x14ac:dyDescent="0.25">
      <c r="A30" s="18">
        <v>29</v>
      </c>
      <c r="B30" s="17" t="s">
        <v>69</v>
      </c>
      <c r="C30" s="17" t="s">
        <v>93</v>
      </c>
      <c r="D30">
        <v>1.02</v>
      </c>
      <c r="E30">
        <v>154</v>
      </c>
      <c r="F30">
        <v>109</v>
      </c>
      <c r="G30" t="str">
        <f t="shared" si="0"/>
        <v>Brazil</v>
      </c>
      <c r="H30">
        <v>1</v>
      </c>
    </row>
    <row r="31" spans="1:8" x14ac:dyDescent="0.25">
      <c r="A31" s="18">
        <v>30</v>
      </c>
      <c r="B31" s="17" t="s">
        <v>156</v>
      </c>
      <c r="C31" s="17" t="s">
        <v>125</v>
      </c>
      <c r="D31">
        <v>6.78</v>
      </c>
      <c r="E31">
        <v>7.74</v>
      </c>
      <c r="F31">
        <v>1.38</v>
      </c>
      <c r="G31" t="str">
        <f t="shared" si="0"/>
        <v>Morocco</v>
      </c>
      <c r="H31">
        <v>1</v>
      </c>
    </row>
    <row r="32" spans="1:8" x14ac:dyDescent="0.25">
      <c r="A32" s="18">
        <v>31</v>
      </c>
      <c r="B32" s="17" t="s">
        <v>170</v>
      </c>
      <c r="C32" s="17" t="s">
        <v>58</v>
      </c>
      <c r="D32">
        <v>1.25</v>
      </c>
      <c r="E32">
        <v>7.79</v>
      </c>
      <c r="F32">
        <v>14.1</v>
      </c>
      <c r="G32" t="str">
        <f t="shared" si="0"/>
        <v>United States</v>
      </c>
      <c r="H32">
        <v>1</v>
      </c>
    </row>
    <row r="33" spans="1:8" x14ac:dyDescent="0.25">
      <c r="A33" s="18">
        <v>32</v>
      </c>
      <c r="B33" s="17" t="s">
        <v>180</v>
      </c>
      <c r="C33" s="17" t="s">
        <v>142</v>
      </c>
      <c r="D33">
        <v>1.41</v>
      </c>
      <c r="E33">
        <v>4.74</v>
      </c>
      <c r="F33">
        <v>12.6</v>
      </c>
      <c r="G33" t="str">
        <f t="shared" si="0"/>
        <v>Turkey</v>
      </c>
      <c r="H33">
        <v>0</v>
      </c>
    </row>
    <row r="34" spans="1:8" x14ac:dyDescent="0.25">
      <c r="A34" s="18">
        <v>33</v>
      </c>
      <c r="B34" s="17" t="s">
        <v>131</v>
      </c>
      <c r="C34" s="17" t="s">
        <v>178</v>
      </c>
      <c r="D34">
        <v>1.05</v>
      </c>
      <c r="E34">
        <v>27.7</v>
      </c>
      <c r="F34">
        <v>85.3</v>
      </c>
      <c r="G34" t="str">
        <f t="shared" si="0"/>
        <v>Germany</v>
      </c>
      <c r="H34">
        <v>1</v>
      </c>
    </row>
    <row r="35" spans="1:8" x14ac:dyDescent="0.25">
      <c r="A35" s="18">
        <v>34</v>
      </c>
      <c r="B35" s="17" t="s">
        <v>86</v>
      </c>
      <c r="C35" s="17" t="s">
        <v>75</v>
      </c>
      <c r="D35">
        <v>1.1399999999999999</v>
      </c>
      <c r="E35">
        <v>11.8</v>
      </c>
      <c r="F35">
        <v>28.1</v>
      </c>
      <c r="G35" t="str">
        <f t="shared" si="0"/>
        <v>Ecuador</v>
      </c>
      <c r="H35">
        <v>0</v>
      </c>
    </row>
    <row r="36" spans="1:8" x14ac:dyDescent="0.25">
      <c r="A36" s="18">
        <v>35</v>
      </c>
      <c r="B36" s="17" t="s">
        <v>99</v>
      </c>
      <c r="C36" s="17" t="s">
        <v>162</v>
      </c>
      <c r="D36">
        <v>1.35</v>
      </c>
      <c r="E36">
        <v>5.68</v>
      </c>
      <c r="F36">
        <v>11.7</v>
      </c>
      <c r="G36" t="str">
        <f t="shared" si="0"/>
        <v>Netherlands</v>
      </c>
      <c r="H36">
        <v>1</v>
      </c>
    </row>
    <row r="37" spans="1:8" x14ac:dyDescent="0.25">
      <c r="A37" s="18">
        <v>36</v>
      </c>
      <c r="B37" s="17" t="s">
        <v>165</v>
      </c>
      <c r="C37" s="17" t="s">
        <v>107</v>
      </c>
      <c r="D37">
        <v>19.899999999999999</v>
      </c>
      <c r="E37">
        <v>11.9</v>
      </c>
      <c r="F37">
        <v>1.1499999999999999</v>
      </c>
      <c r="G37" t="str">
        <f t="shared" si="0"/>
        <v>Japan</v>
      </c>
      <c r="H37">
        <v>1</v>
      </c>
    </row>
    <row r="38" spans="1:8" x14ac:dyDescent="0.25">
      <c r="A38" s="18">
        <v>37</v>
      </c>
      <c r="B38" s="17" t="s">
        <v>63</v>
      </c>
      <c r="C38" s="17" t="s">
        <v>104</v>
      </c>
      <c r="D38">
        <v>1.08</v>
      </c>
      <c r="E38">
        <v>18.100000000000001</v>
      </c>
      <c r="F38">
        <v>61.1</v>
      </c>
      <c r="G38" t="str">
        <f t="shared" si="0"/>
        <v>Belgium</v>
      </c>
      <c r="H38">
        <v>0</v>
      </c>
    </row>
    <row r="39" spans="1:8" x14ac:dyDescent="0.25">
      <c r="A39" s="18">
        <v>38</v>
      </c>
      <c r="B39" s="17" t="s">
        <v>137</v>
      </c>
      <c r="C39" s="17" t="s">
        <v>83</v>
      </c>
      <c r="D39">
        <v>8.7899999999999991</v>
      </c>
      <c r="E39">
        <v>5.8</v>
      </c>
      <c r="F39">
        <v>1.4</v>
      </c>
      <c r="G39" t="str">
        <f t="shared" si="0"/>
        <v>Egypt</v>
      </c>
      <c r="H39">
        <v>1</v>
      </c>
    </row>
    <row r="40" spans="1:8" x14ac:dyDescent="0.25">
      <c r="A40" s="18">
        <v>39</v>
      </c>
      <c r="B40" s="17" t="s">
        <v>96</v>
      </c>
      <c r="C40" s="17" t="s">
        <v>53</v>
      </c>
      <c r="D40">
        <v>1.02</v>
      </c>
      <c r="E40">
        <v>83.6</v>
      </c>
      <c r="F40">
        <v>145</v>
      </c>
      <c r="G40" t="str">
        <f t="shared" si="0"/>
        <v>Spain</v>
      </c>
      <c r="H40">
        <v>1</v>
      </c>
    </row>
    <row r="41" spans="1:8" x14ac:dyDescent="0.25">
      <c r="A41" s="18">
        <v>40</v>
      </c>
      <c r="B41" s="17" t="s">
        <v>172</v>
      </c>
      <c r="C41" s="17" t="s">
        <v>151</v>
      </c>
      <c r="D41">
        <v>1.19</v>
      </c>
      <c r="E41">
        <v>8.92</v>
      </c>
      <c r="F41">
        <v>20</v>
      </c>
      <c r="G41" t="str">
        <f t="shared" si="0"/>
        <v>Uruguay</v>
      </c>
      <c r="H41">
        <v>0</v>
      </c>
    </row>
    <row r="42" spans="1:8" x14ac:dyDescent="0.25">
      <c r="A42" s="18">
        <v>41</v>
      </c>
      <c r="B42" s="17" t="s">
        <v>89</v>
      </c>
      <c r="C42" s="17" t="s">
        <v>102</v>
      </c>
      <c r="D42">
        <v>1.01</v>
      </c>
      <c r="E42">
        <v>250</v>
      </c>
      <c r="F42">
        <v>324</v>
      </c>
      <c r="G42" t="str">
        <f t="shared" si="0"/>
        <v>France</v>
      </c>
      <c r="H42">
        <v>1</v>
      </c>
    </row>
    <row r="43" spans="1:8" x14ac:dyDescent="0.25">
      <c r="A43" s="18">
        <v>42</v>
      </c>
      <c r="B43" s="17" t="s">
        <v>134</v>
      </c>
      <c r="C43" s="17" t="s">
        <v>153</v>
      </c>
      <c r="D43">
        <v>1.53</v>
      </c>
      <c r="E43">
        <v>3.75</v>
      </c>
      <c r="F43">
        <v>12.7</v>
      </c>
      <c r="G43" t="str">
        <f t="shared" si="0"/>
        <v>Norway</v>
      </c>
      <c r="H43">
        <v>1</v>
      </c>
    </row>
    <row r="44" spans="1:8" x14ac:dyDescent="0.25">
      <c r="A44" s="18">
        <v>43</v>
      </c>
      <c r="B44" s="17" t="s">
        <v>56</v>
      </c>
      <c r="C44" s="17" t="s">
        <v>60</v>
      </c>
      <c r="D44">
        <v>1.1599999999999999</v>
      </c>
      <c r="E44">
        <v>11.4</v>
      </c>
      <c r="F44">
        <v>21.3</v>
      </c>
      <c r="G44" t="str">
        <f t="shared" si="0"/>
        <v>Argentina</v>
      </c>
      <c r="H44">
        <v>1</v>
      </c>
    </row>
    <row r="45" spans="1:8" x14ac:dyDescent="0.25">
      <c r="A45" s="18">
        <v>44</v>
      </c>
      <c r="B45" s="17" t="s">
        <v>110</v>
      </c>
      <c r="C45" s="17" t="s">
        <v>47</v>
      </c>
      <c r="D45">
        <v>20.100000000000001</v>
      </c>
      <c r="E45">
        <v>4.6100000000000003</v>
      </c>
      <c r="F45">
        <v>1.36</v>
      </c>
      <c r="G45" t="str">
        <f t="shared" si="0"/>
        <v>Algeria</v>
      </c>
      <c r="H45">
        <v>1</v>
      </c>
    </row>
    <row r="46" spans="1:8" x14ac:dyDescent="0.25">
      <c r="A46" s="18">
        <v>45</v>
      </c>
      <c r="B46" s="17" t="s">
        <v>145</v>
      </c>
      <c r="C46" s="17" t="s">
        <v>174</v>
      </c>
      <c r="D46">
        <v>1.02</v>
      </c>
      <c r="E46">
        <v>97</v>
      </c>
      <c r="F46">
        <v>197</v>
      </c>
      <c r="G46" t="str">
        <f t="shared" si="0"/>
        <v>Portugal</v>
      </c>
      <c r="H46">
        <v>1</v>
      </c>
    </row>
    <row r="47" spans="1:8" x14ac:dyDescent="0.25">
      <c r="A47" s="18">
        <v>46</v>
      </c>
      <c r="B47" s="17" t="s">
        <v>139</v>
      </c>
      <c r="C47" s="17" t="s">
        <v>72</v>
      </c>
      <c r="D47">
        <v>56.8</v>
      </c>
      <c r="E47">
        <v>26.8</v>
      </c>
      <c r="F47">
        <v>1.06</v>
      </c>
      <c r="G47" t="str">
        <f t="shared" si="0"/>
        <v>Croatia</v>
      </c>
      <c r="H47">
        <v>1</v>
      </c>
    </row>
    <row r="48" spans="1:8" x14ac:dyDescent="0.25">
      <c r="A48" s="18">
        <v>47</v>
      </c>
      <c r="B48" s="17" t="s">
        <v>119</v>
      </c>
      <c r="C48" s="17" t="s">
        <v>179</v>
      </c>
      <c r="D48">
        <v>1.23</v>
      </c>
      <c r="E48">
        <v>6.89</v>
      </c>
      <c r="F48">
        <v>23.2</v>
      </c>
      <c r="G48" t="str">
        <f t="shared" si="0"/>
        <v>Colombia</v>
      </c>
      <c r="H48">
        <v>1</v>
      </c>
    </row>
    <row r="49" spans="1:8" x14ac:dyDescent="0.25">
      <c r="A49" s="18">
        <v>48</v>
      </c>
      <c r="B49" s="17" t="s">
        <v>50</v>
      </c>
      <c r="C49" s="17" t="s">
        <v>91</v>
      </c>
      <c r="D49">
        <v>1.03</v>
      </c>
      <c r="E49">
        <v>41.9</v>
      </c>
      <c r="F49">
        <v>124</v>
      </c>
      <c r="G49" t="str">
        <f t="shared" si="0"/>
        <v>England</v>
      </c>
      <c r="H49">
        <v>0</v>
      </c>
    </row>
    <row r="50" spans="1:8" x14ac:dyDescent="0.25">
      <c r="A50" s="18">
        <v>49</v>
      </c>
      <c r="B50" s="17" t="s">
        <v>156</v>
      </c>
      <c r="C50" s="17" t="s">
        <v>69</v>
      </c>
      <c r="D50">
        <v>42.4</v>
      </c>
      <c r="E50">
        <v>29.2</v>
      </c>
      <c r="F50">
        <v>1.06</v>
      </c>
      <c r="G50" t="str">
        <f t="shared" si="0"/>
        <v>Brazil</v>
      </c>
      <c r="H50">
        <v>1</v>
      </c>
    </row>
    <row r="51" spans="1:8" x14ac:dyDescent="0.25">
      <c r="A51" s="18">
        <v>50</v>
      </c>
      <c r="B51" s="17" t="s">
        <v>125</v>
      </c>
      <c r="C51" s="17" t="s">
        <v>93</v>
      </c>
      <c r="D51">
        <v>1.05</v>
      </c>
      <c r="E51">
        <v>30.7</v>
      </c>
      <c r="F51">
        <v>76.2</v>
      </c>
      <c r="G51" t="str">
        <f t="shared" si="0"/>
        <v>Morocco</v>
      </c>
      <c r="H51">
        <v>1</v>
      </c>
    </row>
    <row r="52" spans="1:8" x14ac:dyDescent="0.25">
      <c r="A52" s="18">
        <v>51</v>
      </c>
      <c r="B52" s="17" t="s">
        <v>148</v>
      </c>
      <c r="C52" s="17" t="s">
        <v>122</v>
      </c>
      <c r="D52">
        <v>12.5</v>
      </c>
      <c r="E52">
        <v>7.43</v>
      </c>
      <c r="F52">
        <v>1.27</v>
      </c>
      <c r="G52" t="str">
        <f t="shared" si="0"/>
        <v>South Korea</v>
      </c>
      <c r="H52">
        <v>0</v>
      </c>
    </row>
    <row r="53" spans="1:8" x14ac:dyDescent="0.25">
      <c r="A53" s="18">
        <v>52</v>
      </c>
      <c r="B53" s="17" t="s">
        <v>78</v>
      </c>
      <c r="C53" s="17" t="s">
        <v>128</v>
      </c>
      <c r="D53">
        <v>11.9</v>
      </c>
      <c r="E53">
        <v>5.27</v>
      </c>
      <c r="F53">
        <v>1.38</v>
      </c>
      <c r="G53" t="str">
        <f t="shared" si="0"/>
        <v>Mexico</v>
      </c>
      <c r="H53">
        <v>1</v>
      </c>
    </row>
    <row r="54" spans="1:8" x14ac:dyDescent="0.25">
      <c r="A54" s="18">
        <v>53</v>
      </c>
      <c r="B54" s="17" t="s">
        <v>66</v>
      </c>
      <c r="C54" s="17" t="s">
        <v>116</v>
      </c>
      <c r="D54">
        <v>1.17</v>
      </c>
      <c r="E54">
        <v>10.3</v>
      </c>
      <c r="F54">
        <v>19.3</v>
      </c>
      <c r="G54" t="str">
        <f t="shared" si="0"/>
        <v>Bosnia and Herzegovina</v>
      </c>
      <c r="H54">
        <v>1</v>
      </c>
    </row>
    <row r="55" spans="1:8" x14ac:dyDescent="0.25">
      <c r="A55" s="18">
        <v>54</v>
      </c>
      <c r="B55" s="17" t="s">
        <v>159</v>
      </c>
      <c r="C55" s="17" t="s">
        <v>113</v>
      </c>
      <c r="D55">
        <v>1.91</v>
      </c>
      <c r="E55">
        <v>2.87</v>
      </c>
      <c r="F55">
        <v>7.87</v>
      </c>
      <c r="G55" t="str">
        <f t="shared" si="0"/>
        <v>Switzerland</v>
      </c>
      <c r="H55">
        <v>1</v>
      </c>
    </row>
    <row r="56" spans="1:8" x14ac:dyDescent="0.25">
      <c r="A56" s="18">
        <v>55</v>
      </c>
      <c r="B56" s="17" t="s">
        <v>75</v>
      </c>
      <c r="C56" s="17" t="s">
        <v>178</v>
      </c>
      <c r="D56">
        <v>30</v>
      </c>
      <c r="E56">
        <v>18.8</v>
      </c>
      <c r="F56">
        <v>1.0900000000000001</v>
      </c>
      <c r="G56" t="str">
        <f t="shared" si="0"/>
        <v>Ivory Coast</v>
      </c>
      <c r="H56">
        <v>1</v>
      </c>
    </row>
    <row r="57" spans="1:8" x14ac:dyDescent="0.25">
      <c r="A57" s="18">
        <v>56</v>
      </c>
      <c r="B57" s="17" t="s">
        <v>86</v>
      </c>
      <c r="C57" s="17" t="s">
        <v>131</v>
      </c>
      <c r="D57">
        <v>49.5</v>
      </c>
      <c r="E57">
        <v>25.1</v>
      </c>
      <c r="F57">
        <v>1.06</v>
      </c>
      <c r="G57" t="str">
        <f>IF(D57&lt;F57,B57,C57)</f>
        <v>Germany</v>
      </c>
      <c r="H57">
        <v>0</v>
      </c>
    </row>
    <row r="58" spans="1:8" x14ac:dyDescent="0.25">
      <c r="A58" s="18">
        <v>57</v>
      </c>
      <c r="B58" s="17" t="s">
        <v>142</v>
      </c>
      <c r="C58" s="17" t="s">
        <v>58</v>
      </c>
      <c r="D58">
        <v>3.32</v>
      </c>
      <c r="E58">
        <v>2.38</v>
      </c>
      <c r="F58">
        <v>3.58</v>
      </c>
      <c r="G58" t="str">
        <f t="shared" ref="G58:G105" si="1">IF(D58&lt;F58,B58,C58)</f>
        <v>Paraguay</v>
      </c>
      <c r="H58">
        <v>0</v>
      </c>
    </row>
    <row r="59" spans="1:8" x14ac:dyDescent="0.25">
      <c r="A59" s="18">
        <v>58</v>
      </c>
      <c r="B59" s="17" t="s">
        <v>180</v>
      </c>
      <c r="C59" s="17" t="s">
        <v>170</v>
      </c>
      <c r="D59">
        <v>6.44</v>
      </c>
      <c r="E59">
        <v>6.89</v>
      </c>
      <c r="F59">
        <v>1.43</v>
      </c>
      <c r="G59" t="str">
        <f t="shared" si="1"/>
        <v>United States</v>
      </c>
      <c r="H59">
        <v>0</v>
      </c>
    </row>
    <row r="60" spans="1:8" x14ac:dyDescent="0.25">
      <c r="A60" s="18">
        <v>59</v>
      </c>
      <c r="B60" s="17" t="s">
        <v>107</v>
      </c>
      <c r="C60" s="17" t="s">
        <v>162</v>
      </c>
      <c r="D60">
        <v>1.66</v>
      </c>
      <c r="E60">
        <v>4.25</v>
      </c>
      <c r="F60">
        <v>6.18</v>
      </c>
      <c r="G60" t="str">
        <f t="shared" si="1"/>
        <v>Japan</v>
      </c>
      <c r="H60">
        <v>0</v>
      </c>
    </row>
    <row r="61" spans="1:8" x14ac:dyDescent="0.25">
      <c r="A61" s="18">
        <v>60</v>
      </c>
      <c r="B61" s="17" t="s">
        <v>165</v>
      </c>
      <c r="C61" s="17" t="s">
        <v>99</v>
      </c>
      <c r="D61">
        <v>74.099999999999994</v>
      </c>
      <c r="E61">
        <v>52.7</v>
      </c>
      <c r="F61">
        <v>1.03</v>
      </c>
      <c r="G61" t="str">
        <f t="shared" si="1"/>
        <v>Netherlands</v>
      </c>
      <c r="H61">
        <v>1</v>
      </c>
    </row>
    <row r="62" spans="1:8" x14ac:dyDescent="0.25">
      <c r="A62" s="18">
        <v>61</v>
      </c>
      <c r="B62" s="17" t="s">
        <v>153</v>
      </c>
      <c r="C62" s="17" t="s">
        <v>102</v>
      </c>
      <c r="D62">
        <v>1.1499999999999999</v>
      </c>
      <c r="E62">
        <v>10.8</v>
      </c>
      <c r="F62">
        <v>24.7</v>
      </c>
      <c r="G62" t="str">
        <f t="shared" si="1"/>
        <v>Senegal</v>
      </c>
      <c r="H62">
        <v>1</v>
      </c>
    </row>
    <row r="63" spans="1:8" x14ac:dyDescent="0.25">
      <c r="A63" s="18">
        <v>62</v>
      </c>
      <c r="B63" s="17" t="s">
        <v>134</v>
      </c>
      <c r="C63" s="17" t="s">
        <v>89</v>
      </c>
      <c r="D63">
        <v>20.3</v>
      </c>
      <c r="E63">
        <v>10</v>
      </c>
      <c r="F63">
        <v>1.17</v>
      </c>
      <c r="G63" t="str">
        <f t="shared" si="1"/>
        <v>France</v>
      </c>
      <c r="H63">
        <v>1</v>
      </c>
    </row>
    <row r="64" spans="1:8" x14ac:dyDescent="0.25">
      <c r="A64" s="18">
        <v>63</v>
      </c>
      <c r="B64" s="17" t="s">
        <v>83</v>
      </c>
      <c r="C64" s="17" t="s">
        <v>104</v>
      </c>
      <c r="D64">
        <v>1.44</v>
      </c>
      <c r="E64">
        <v>4.1399999999999997</v>
      </c>
      <c r="F64">
        <v>15</v>
      </c>
      <c r="G64" t="str">
        <f t="shared" si="1"/>
        <v>Egypt</v>
      </c>
      <c r="H64">
        <v>0</v>
      </c>
    </row>
    <row r="65" spans="1:8" x14ac:dyDescent="0.25">
      <c r="A65" s="18">
        <v>64</v>
      </c>
      <c r="B65" s="17" t="s">
        <v>137</v>
      </c>
      <c r="C65" s="17" t="s">
        <v>63</v>
      </c>
      <c r="D65">
        <v>32.5</v>
      </c>
      <c r="E65">
        <v>21.5</v>
      </c>
      <c r="F65">
        <v>1.08</v>
      </c>
      <c r="G65" t="str">
        <f t="shared" si="1"/>
        <v>Belgium</v>
      </c>
      <c r="H65">
        <v>1</v>
      </c>
    </row>
    <row r="66" spans="1:8" x14ac:dyDescent="0.25">
      <c r="A66" s="18">
        <v>65</v>
      </c>
      <c r="B66" s="17" t="s">
        <v>151</v>
      </c>
      <c r="C66" s="17" t="s">
        <v>53</v>
      </c>
      <c r="D66">
        <v>2.71</v>
      </c>
      <c r="E66">
        <v>2.33</v>
      </c>
      <c r="F66">
        <v>4.9800000000000004</v>
      </c>
      <c r="G66" t="str">
        <f t="shared" si="1"/>
        <v>Cape Verde</v>
      </c>
      <c r="H66">
        <v>0</v>
      </c>
    </row>
    <row r="67" spans="1:8" x14ac:dyDescent="0.25">
      <c r="A67" s="18">
        <v>66</v>
      </c>
      <c r="B67" s="17" t="s">
        <v>172</v>
      </c>
      <c r="C67" s="17" t="s">
        <v>96</v>
      </c>
      <c r="D67">
        <v>55</v>
      </c>
      <c r="E67">
        <v>19.2</v>
      </c>
      <c r="F67">
        <v>1.08</v>
      </c>
      <c r="G67" t="str">
        <f t="shared" si="1"/>
        <v>Spain</v>
      </c>
      <c r="H67">
        <v>1</v>
      </c>
    </row>
    <row r="68" spans="1:8" x14ac:dyDescent="0.25">
      <c r="A68" s="18">
        <v>67</v>
      </c>
      <c r="B68" s="17" t="s">
        <v>139</v>
      </c>
      <c r="C68" s="17" t="s">
        <v>50</v>
      </c>
      <c r="D68">
        <v>96.7</v>
      </c>
      <c r="E68">
        <v>119</v>
      </c>
      <c r="F68">
        <v>1.02</v>
      </c>
      <c r="G68" t="str">
        <f t="shared" si="1"/>
        <v>England</v>
      </c>
      <c r="H68">
        <v>1</v>
      </c>
    </row>
    <row r="69" spans="1:8" x14ac:dyDescent="0.25">
      <c r="A69" s="18">
        <v>68</v>
      </c>
      <c r="B69" s="17" t="s">
        <v>72</v>
      </c>
      <c r="C69" s="17" t="s">
        <v>91</v>
      </c>
      <c r="D69">
        <v>1.27</v>
      </c>
      <c r="E69">
        <v>7.11</v>
      </c>
      <c r="F69">
        <v>13.8</v>
      </c>
      <c r="G69" t="str">
        <f t="shared" si="1"/>
        <v>Croatia</v>
      </c>
      <c r="H69">
        <v>1</v>
      </c>
    </row>
    <row r="70" spans="1:8" x14ac:dyDescent="0.25">
      <c r="A70" s="18">
        <v>69</v>
      </c>
      <c r="B70" s="17" t="s">
        <v>47</v>
      </c>
      <c r="C70" s="17" t="s">
        <v>60</v>
      </c>
      <c r="D70">
        <v>17.899999999999999</v>
      </c>
      <c r="E70">
        <v>4.12</v>
      </c>
      <c r="F70">
        <v>1.43</v>
      </c>
      <c r="G70" t="str">
        <f t="shared" si="1"/>
        <v>Austria</v>
      </c>
      <c r="H70">
        <v>0</v>
      </c>
    </row>
    <row r="71" spans="1:8" x14ac:dyDescent="0.25">
      <c r="A71" s="18">
        <v>70</v>
      </c>
      <c r="B71" s="17" t="s">
        <v>110</v>
      </c>
      <c r="C71" s="17" t="s">
        <v>56</v>
      </c>
      <c r="D71">
        <v>118</v>
      </c>
      <c r="E71">
        <v>97.2</v>
      </c>
      <c r="F71">
        <v>1.02</v>
      </c>
      <c r="G71" t="str">
        <f t="shared" si="1"/>
        <v>Argentina</v>
      </c>
      <c r="H71">
        <v>1</v>
      </c>
    </row>
    <row r="72" spans="1:8" x14ac:dyDescent="0.25">
      <c r="A72" s="18">
        <v>71</v>
      </c>
      <c r="B72" s="17" t="s">
        <v>119</v>
      </c>
      <c r="C72" s="17" t="s">
        <v>145</v>
      </c>
      <c r="D72">
        <v>17.399999999999999</v>
      </c>
      <c r="E72">
        <v>6.28</v>
      </c>
      <c r="F72">
        <v>1.28</v>
      </c>
      <c r="G72" t="str">
        <f t="shared" si="1"/>
        <v>Portugal</v>
      </c>
      <c r="H72">
        <v>0</v>
      </c>
    </row>
    <row r="73" spans="1:8" x14ac:dyDescent="0.25">
      <c r="A73" s="18">
        <v>72</v>
      </c>
      <c r="B73" s="17" t="s">
        <v>179</v>
      </c>
      <c r="C73" s="17" t="s">
        <v>174</v>
      </c>
      <c r="D73">
        <v>1.49</v>
      </c>
      <c r="E73">
        <v>3.87</v>
      </c>
      <c r="F73">
        <v>13.9</v>
      </c>
      <c r="G73" t="str">
        <f t="shared" si="1"/>
        <v>Democratic Republic of the Congo</v>
      </c>
      <c r="H73">
        <v>1</v>
      </c>
    </row>
    <row r="74" spans="1:8" x14ac:dyDescent="0.25">
      <c r="A74" s="18">
        <v>73</v>
      </c>
      <c r="B74" s="17" t="s">
        <v>148</v>
      </c>
      <c r="C74" s="17" t="s">
        <v>113</v>
      </c>
      <c r="D74">
        <v>8.39</v>
      </c>
      <c r="E74">
        <v>53.2</v>
      </c>
      <c r="F74">
        <v>1.1599999999999999</v>
      </c>
      <c r="G74" t="str">
        <f t="shared" si="1"/>
        <v>Canada</v>
      </c>
      <c r="H74">
        <v>1</v>
      </c>
    </row>
    <row r="75" spans="1:8" x14ac:dyDescent="0.25">
      <c r="A75" s="18">
        <v>74</v>
      </c>
      <c r="B75" s="17" t="s">
        <v>131</v>
      </c>
      <c r="C75" s="17" t="s">
        <v>142</v>
      </c>
      <c r="D75">
        <v>1.02</v>
      </c>
      <c r="E75">
        <v>0</v>
      </c>
      <c r="F75">
        <v>43.6</v>
      </c>
      <c r="G75" t="str">
        <f t="shared" si="1"/>
        <v>Germany</v>
      </c>
      <c r="H75">
        <v>0</v>
      </c>
    </row>
    <row r="76" spans="1:8" x14ac:dyDescent="0.25">
      <c r="A76" s="18">
        <v>75</v>
      </c>
      <c r="B76" s="17" t="s">
        <v>99</v>
      </c>
      <c r="C76" s="17" t="s">
        <v>125</v>
      </c>
      <c r="D76">
        <v>1.26</v>
      </c>
      <c r="E76">
        <v>0</v>
      </c>
      <c r="F76">
        <v>4.79</v>
      </c>
      <c r="G76" t="str">
        <f t="shared" si="1"/>
        <v>Netherlands</v>
      </c>
      <c r="H76">
        <v>0</v>
      </c>
    </row>
    <row r="77" spans="1:8" x14ac:dyDescent="0.25">
      <c r="A77" s="18">
        <v>76</v>
      </c>
      <c r="B77" s="17" t="s">
        <v>69</v>
      </c>
      <c r="C77" s="17" t="s">
        <v>107</v>
      </c>
      <c r="D77">
        <v>1.1000000000000001</v>
      </c>
      <c r="E77">
        <v>66.599999999999994</v>
      </c>
      <c r="F77">
        <v>13.2</v>
      </c>
      <c r="G77" t="str">
        <f t="shared" si="1"/>
        <v>Brazil</v>
      </c>
      <c r="H77">
        <v>1</v>
      </c>
    </row>
    <row r="78" spans="1:8" x14ac:dyDescent="0.25">
      <c r="A78" s="18">
        <v>77</v>
      </c>
      <c r="B78" s="17" t="s">
        <v>89</v>
      </c>
      <c r="C78" s="17" t="s">
        <v>162</v>
      </c>
      <c r="D78">
        <v>1.02</v>
      </c>
      <c r="E78">
        <v>336</v>
      </c>
      <c r="F78">
        <v>51.8</v>
      </c>
      <c r="G78" t="str">
        <f t="shared" si="1"/>
        <v>France</v>
      </c>
      <c r="H78">
        <v>1</v>
      </c>
    </row>
    <row r="79" spans="1:8" x14ac:dyDescent="0.25">
      <c r="A79" s="18">
        <v>78</v>
      </c>
      <c r="B79" s="17" t="s">
        <v>178</v>
      </c>
      <c r="C79" s="17" t="s">
        <v>134</v>
      </c>
      <c r="D79">
        <v>5.52</v>
      </c>
      <c r="E79">
        <v>30.2</v>
      </c>
      <c r="F79">
        <v>1.27</v>
      </c>
      <c r="G79" t="str">
        <f t="shared" si="1"/>
        <v>Norway</v>
      </c>
      <c r="H79">
        <v>1</v>
      </c>
    </row>
    <row r="80" spans="1:8" x14ac:dyDescent="0.25">
      <c r="A80" s="18">
        <v>79</v>
      </c>
      <c r="B80" s="17" t="s">
        <v>128</v>
      </c>
      <c r="C80" s="17" t="s">
        <v>86</v>
      </c>
      <c r="D80">
        <v>1.23</v>
      </c>
      <c r="E80">
        <v>23.1</v>
      </c>
      <c r="F80">
        <v>6.82</v>
      </c>
      <c r="G80" t="str">
        <f t="shared" si="1"/>
        <v>Mexico</v>
      </c>
      <c r="H80">
        <v>1</v>
      </c>
    </row>
    <row r="81" spans="1:8" x14ac:dyDescent="0.25">
      <c r="A81" s="18">
        <v>80</v>
      </c>
      <c r="B81" s="17" t="s">
        <v>50</v>
      </c>
      <c r="C81" s="17" t="s">
        <v>179</v>
      </c>
      <c r="D81">
        <v>1.02</v>
      </c>
      <c r="E81">
        <v>222</v>
      </c>
      <c r="F81">
        <v>54.4</v>
      </c>
      <c r="G81" t="str">
        <f t="shared" si="1"/>
        <v>England</v>
      </c>
      <c r="H81">
        <v>1</v>
      </c>
    </row>
    <row r="82" spans="1:8" x14ac:dyDescent="0.25">
      <c r="A82" s="18">
        <v>81</v>
      </c>
      <c r="B82" s="17" t="s">
        <v>170</v>
      </c>
      <c r="C82" s="17" t="s">
        <v>66</v>
      </c>
      <c r="D82">
        <v>1.1299999999999999</v>
      </c>
      <c r="E82">
        <v>61.3</v>
      </c>
      <c r="F82">
        <v>10.4</v>
      </c>
      <c r="G82" t="str">
        <f t="shared" si="1"/>
        <v>United States</v>
      </c>
      <c r="H82">
        <v>1</v>
      </c>
    </row>
    <row r="83" spans="1:8" x14ac:dyDescent="0.25">
      <c r="A83" s="18">
        <v>82</v>
      </c>
      <c r="B83" s="17" t="s">
        <v>63</v>
      </c>
      <c r="C83" s="17" t="s">
        <v>153</v>
      </c>
      <c r="D83">
        <v>1.42</v>
      </c>
      <c r="E83">
        <v>19.7</v>
      </c>
      <c r="F83">
        <v>4.07</v>
      </c>
      <c r="G83" t="str">
        <f t="shared" si="1"/>
        <v>Belgium</v>
      </c>
      <c r="H83">
        <v>1</v>
      </c>
    </row>
    <row r="84" spans="1:8" x14ac:dyDescent="0.25">
      <c r="A84" s="18">
        <v>83</v>
      </c>
      <c r="B84" s="17" t="s">
        <v>145</v>
      </c>
      <c r="C84" s="17" t="s">
        <v>72</v>
      </c>
      <c r="D84">
        <v>1.32</v>
      </c>
      <c r="E84">
        <v>19</v>
      </c>
      <c r="F84">
        <v>5.2</v>
      </c>
      <c r="G84" t="str">
        <f t="shared" si="1"/>
        <v>Portugal</v>
      </c>
      <c r="H84">
        <v>1</v>
      </c>
    </row>
    <row r="85" spans="1:8" x14ac:dyDescent="0.25">
      <c r="A85" s="18">
        <v>84</v>
      </c>
      <c r="B85" s="17" t="s">
        <v>96</v>
      </c>
      <c r="C85" s="17" t="s">
        <v>60</v>
      </c>
      <c r="D85">
        <v>1.07</v>
      </c>
      <c r="E85">
        <v>80</v>
      </c>
      <c r="F85">
        <v>18</v>
      </c>
      <c r="G85" t="str">
        <f t="shared" si="1"/>
        <v>Spain</v>
      </c>
      <c r="H85">
        <v>1</v>
      </c>
    </row>
    <row r="86" spans="1:8" x14ac:dyDescent="0.25">
      <c r="A86" s="18">
        <v>85</v>
      </c>
      <c r="B86" s="17" t="s">
        <v>159</v>
      </c>
      <c r="C86" s="17" t="s">
        <v>47</v>
      </c>
      <c r="D86">
        <v>1.17</v>
      </c>
      <c r="E86">
        <v>29.2</v>
      </c>
      <c r="F86">
        <v>8.8800000000000008</v>
      </c>
      <c r="G86" t="str">
        <f t="shared" si="1"/>
        <v>Switzerland</v>
      </c>
      <c r="H86">
        <v>1</v>
      </c>
    </row>
    <row r="87" spans="1:8" x14ac:dyDescent="0.25">
      <c r="A87" s="18">
        <v>86</v>
      </c>
      <c r="B87" s="17" t="s">
        <v>56</v>
      </c>
      <c r="C87" s="17" t="s">
        <v>151</v>
      </c>
      <c r="D87">
        <v>11.02</v>
      </c>
      <c r="E87">
        <v>337</v>
      </c>
      <c r="F87">
        <v>47.9</v>
      </c>
      <c r="G87" t="str">
        <f t="shared" si="1"/>
        <v>Argentina</v>
      </c>
      <c r="H87">
        <v>1</v>
      </c>
    </row>
    <row r="88" spans="1:8" x14ac:dyDescent="0.25">
      <c r="A88" s="18">
        <v>87</v>
      </c>
      <c r="B88" s="17" t="s">
        <v>119</v>
      </c>
      <c r="C88" s="17" t="s">
        <v>91</v>
      </c>
      <c r="D88">
        <v>1.18</v>
      </c>
      <c r="E88">
        <v>37.299999999999997</v>
      </c>
      <c r="F88">
        <v>7.82</v>
      </c>
      <c r="G88" t="str">
        <f t="shared" si="1"/>
        <v>Colombia</v>
      </c>
      <c r="H88">
        <v>1</v>
      </c>
    </row>
    <row r="89" spans="1:8" x14ac:dyDescent="0.25">
      <c r="A89" s="18">
        <v>88</v>
      </c>
      <c r="B89" s="17" t="s">
        <v>58</v>
      </c>
      <c r="C89" s="17" t="s">
        <v>83</v>
      </c>
      <c r="D89">
        <v>3.58</v>
      </c>
      <c r="E89">
        <v>0</v>
      </c>
      <c r="F89">
        <v>1.39</v>
      </c>
      <c r="G89" t="str">
        <f t="shared" si="1"/>
        <v>Egypt</v>
      </c>
      <c r="H89">
        <v>1</v>
      </c>
    </row>
    <row r="90" spans="1:8" x14ac:dyDescent="0.25">
      <c r="A90" s="18">
        <v>89</v>
      </c>
      <c r="B90" s="17" t="s">
        <v>142</v>
      </c>
      <c r="C90" s="17" t="s">
        <v>89</v>
      </c>
      <c r="D90">
        <v>41.5</v>
      </c>
      <c r="E90">
        <v>395</v>
      </c>
      <c r="F90">
        <v>1.03</v>
      </c>
      <c r="G90" t="str">
        <f t="shared" si="1"/>
        <v>France</v>
      </c>
      <c r="H90">
        <v>1</v>
      </c>
    </row>
    <row r="91" spans="1:8" x14ac:dyDescent="0.25">
      <c r="A91" s="18">
        <v>90</v>
      </c>
      <c r="B91" s="17" t="s">
        <v>113</v>
      </c>
      <c r="C91" s="17" t="s">
        <v>125</v>
      </c>
      <c r="D91">
        <v>7</v>
      </c>
      <c r="E91">
        <v>40.700000000000003</v>
      </c>
      <c r="F91">
        <v>1.2</v>
      </c>
      <c r="G91" t="str">
        <f t="shared" si="1"/>
        <v>Morocco</v>
      </c>
      <c r="H91">
        <v>1</v>
      </c>
    </row>
    <row r="92" spans="1:8" x14ac:dyDescent="0.25">
      <c r="A92" s="18">
        <v>91</v>
      </c>
      <c r="B92" s="17" t="s">
        <v>69</v>
      </c>
      <c r="C92" s="17" t="s">
        <v>134</v>
      </c>
      <c r="D92">
        <v>1.4</v>
      </c>
      <c r="E92">
        <v>21.8</v>
      </c>
      <c r="F92">
        <v>4.16</v>
      </c>
      <c r="G92" t="str">
        <f t="shared" si="1"/>
        <v>Brazil</v>
      </c>
      <c r="H92">
        <v>0</v>
      </c>
    </row>
    <row r="93" spans="1:8" x14ac:dyDescent="0.25">
      <c r="A93" s="18">
        <v>92</v>
      </c>
      <c r="B93" s="17" t="s">
        <v>128</v>
      </c>
      <c r="C93" s="17" t="s">
        <v>50</v>
      </c>
      <c r="D93">
        <v>4.26</v>
      </c>
      <c r="E93">
        <v>17.100000000000001</v>
      </c>
      <c r="F93">
        <v>1.41</v>
      </c>
      <c r="G93" t="str">
        <f t="shared" si="1"/>
        <v>England</v>
      </c>
      <c r="H93">
        <v>1</v>
      </c>
    </row>
    <row r="94" spans="1:8" x14ac:dyDescent="0.25">
      <c r="A94" s="18">
        <v>93</v>
      </c>
      <c r="B94" s="17" t="s">
        <v>145</v>
      </c>
      <c r="C94" s="17" t="s">
        <v>96</v>
      </c>
      <c r="D94">
        <v>5.98</v>
      </c>
      <c r="E94">
        <v>27.3</v>
      </c>
      <c r="F94">
        <v>1.26</v>
      </c>
      <c r="G94" t="str">
        <f t="shared" si="1"/>
        <v>Spain</v>
      </c>
      <c r="H94">
        <v>1</v>
      </c>
    </row>
    <row r="95" spans="1:8" x14ac:dyDescent="0.25">
      <c r="A95" s="18">
        <v>94</v>
      </c>
      <c r="B95" s="17" t="s">
        <v>170</v>
      </c>
      <c r="C95" s="17" t="s">
        <v>63</v>
      </c>
      <c r="D95">
        <v>1.83</v>
      </c>
      <c r="E95">
        <v>17.2</v>
      </c>
      <c r="F95">
        <v>2.52</v>
      </c>
      <c r="G95" t="str">
        <f t="shared" si="1"/>
        <v>United States</v>
      </c>
      <c r="H95">
        <v>0</v>
      </c>
    </row>
    <row r="96" spans="1:8" x14ac:dyDescent="0.25">
      <c r="A96" s="18">
        <v>95</v>
      </c>
      <c r="B96" s="17" t="s">
        <v>56</v>
      </c>
      <c r="C96" s="17" t="s">
        <v>83</v>
      </c>
      <c r="D96">
        <v>1.06</v>
      </c>
      <c r="E96">
        <v>104</v>
      </c>
      <c r="F96">
        <v>22.7</v>
      </c>
      <c r="G96" t="str">
        <f t="shared" si="1"/>
        <v>Argentina</v>
      </c>
      <c r="H96">
        <v>1</v>
      </c>
    </row>
    <row r="97" spans="1:8" x14ac:dyDescent="0.25">
      <c r="A97" s="18">
        <v>96</v>
      </c>
      <c r="B97" s="17" t="s">
        <v>159</v>
      </c>
      <c r="C97" s="17" t="s">
        <v>119</v>
      </c>
      <c r="D97">
        <v>2.29</v>
      </c>
      <c r="E97">
        <v>0</v>
      </c>
      <c r="F97">
        <v>1.77</v>
      </c>
      <c r="G97" t="str">
        <f t="shared" si="1"/>
        <v>Colombia</v>
      </c>
      <c r="H97">
        <v>0</v>
      </c>
    </row>
    <row r="98" spans="1:8" x14ac:dyDescent="0.25">
      <c r="A98" s="18">
        <v>97</v>
      </c>
      <c r="B98" s="17" t="s">
        <v>89</v>
      </c>
      <c r="C98" s="17" t="s">
        <v>125</v>
      </c>
      <c r="D98">
        <v>1.0900000000000001</v>
      </c>
      <c r="E98">
        <v>55.5</v>
      </c>
      <c r="F98">
        <v>15.1</v>
      </c>
      <c r="G98" t="str">
        <f t="shared" si="1"/>
        <v>France</v>
      </c>
      <c r="H98">
        <v>1</v>
      </c>
    </row>
    <row r="99" spans="1:8" x14ac:dyDescent="0.25">
      <c r="A99" s="18">
        <v>98</v>
      </c>
      <c r="B99" s="17" t="s">
        <v>96</v>
      </c>
      <c r="C99" s="17" t="s">
        <v>63</v>
      </c>
      <c r="D99">
        <v>1.1100000000000001</v>
      </c>
      <c r="E99">
        <v>50.2</v>
      </c>
      <c r="F99">
        <v>12.1</v>
      </c>
      <c r="G99" t="str">
        <f t="shared" si="1"/>
        <v>Spain</v>
      </c>
      <c r="H99">
        <v>1</v>
      </c>
    </row>
    <row r="100" spans="1:8" x14ac:dyDescent="0.25">
      <c r="A100" s="18">
        <v>99</v>
      </c>
      <c r="B100" s="17" t="s">
        <v>134</v>
      </c>
      <c r="C100" s="17" t="s">
        <v>50</v>
      </c>
      <c r="D100">
        <v>2.59</v>
      </c>
      <c r="E100">
        <v>17.2</v>
      </c>
      <c r="F100">
        <v>1.8</v>
      </c>
      <c r="G100" t="str">
        <f t="shared" si="1"/>
        <v>England</v>
      </c>
      <c r="H100">
        <v>1</v>
      </c>
    </row>
    <row r="101" spans="1:8" x14ac:dyDescent="0.25">
      <c r="A101" s="18">
        <v>100</v>
      </c>
      <c r="B101" s="17" t="s">
        <v>56</v>
      </c>
      <c r="C101" s="17" t="s">
        <v>159</v>
      </c>
      <c r="D101">
        <v>1.1599999999999999</v>
      </c>
      <c r="E101">
        <v>43.8</v>
      </c>
      <c r="F101">
        <v>8.51</v>
      </c>
      <c r="G101" t="str">
        <f t="shared" si="1"/>
        <v>Argentina</v>
      </c>
      <c r="H101">
        <v>1</v>
      </c>
    </row>
    <row r="102" spans="1:8" x14ac:dyDescent="0.25">
      <c r="A102" s="18">
        <v>101</v>
      </c>
      <c r="B102" s="17" t="s">
        <v>89</v>
      </c>
      <c r="C102" s="17" t="s">
        <v>96</v>
      </c>
      <c r="D102">
        <v>1.32</v>
      </c>
      <c r="E102">
        <v>19.899999999999999</v>
      </c>
      <c r="F102">
        <v>5.17</v>
      </c>
      <c r="G102" t="str">
        <f t="shared" si="1"/>
        <v>France</v>
      </c>
      <c r="H102">
        <v>0</v>
      </c>
    </row>
    <row r="103" spans="1:8" x14ac:dyDescent="0.25">
      <c r="A103" s="18">
        <v>102</v>
      </c>
      <c r="B103" s="17" t="s">
        <v>50</v>
      </c>
      <c r="C103" s="17" t="s">
        <v>56</v>
      </c>
      <c r="D103">
        <v>1.84</v>
      </c>
      <c r="E103">
        <v>14.9</v>
      </c>
      <c r="F103">
        <v>2.57</v>
      </c>
      <c r="G103" t="str">
        <f t="shared" si="1"/>
        <v>England</v>
      </c>
      <c r="H103">
        <v>0</v>
      </c>
    </row>
    <row r="104" spans="1:8" x14ac:dyDescent="0.25">
      <c r="A104" s="18">
        <v>103</v>
      </c>
      <c r="B104" s="17" t="s">
        <v>89</v>
      </c>
      <c r="C104" s="17" t="s">
        <v>50</v>
      </c>
      <c r="D104">
        <v>1.1499999999999999</v>
      </c>
      <c r="E104">
        <v>0</v>
      </c>
      <c r="F104">
        <v>7.62</v>
      </c>
      <c r="G104" t="str">
        <f t="shared" si="1"/>
        <v>France</v>
      </c>
      <c r="H104">
        <v>0</v>
      </c>
    </row>
    <row r="105" spans="1:8" x14ac:dyDescent="0.25">
      <c r="A105" s="18">
        <v>104</v>
      </c>
      <c r="B105" s="17" t="s">
        <v>96</v>
      </c>
      <c r="C105" s="17" t="s">
        <v>56</v>
      </c>
      <c r="D105">
        <v>1.35</v>
      </c>
      <c r="E105">
        <v>0</v>
      </c>
      <c r="F105">
        <v>3.82</v>
      </c>
      <c r="G105" t="str">
        <f t="shared" si="1"/>
        <v>Spain</v>
      </c>
      <c r="H10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DimTeam</vt:lpstr>
      <vt:lpstr>DimConfederation</vt:lpstr>
      <vt:lpstr>DimStage</vt:lpstr>
      <vt:lpstr>DimOdds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Glica Piotr (M/PUQ-WwP)</dc:creator>
  <cp:lastModifiedBy>Piotr Glica (198244)</cp:lastModifiedBy>
  <dcterms:created xsi:type="dcterms:W3CDTF">2026-07-03T08:03:19Z</dcterms:created>
  <dcterms:modified xsi:type="dcterms:W3CDTF">2026-07-24T12:24:14Z</dcterms:modified>
</cp:coreProperties>
</file>